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6fed123f4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0e279e46b004f78"/>
    <x:sheet xmlns:r="http://schemas.openxmlformats.org/officeDocument/2006/relationships" name="Movimientos" sheetId="2" r:id="R457ffe869dc2412e"/>
    <x:sheet xmlns:r="http://schemas.openxmlformats.org/officeDocument/2006/relationships" name="Facturas" sheetId="3" r:id="R731705d5099e4a61"/>
    <x:sheet xmlns:r="http://schemas.openxmlformats.org/officeDocument/2006/relationships" name="Clientes" sheetId="4" r:id="Ra5c21d2941674606"/>
    <x:sheet xmlns:r="http://schemas.openxmlformats.org/officeDocument/2006/relationships" name="Proveedores" sheetId="5" r:id="R3281e762358142fa"/>
    <x:sheet xmlns:r="http://schemas.openxmlformats.org/officeDocument/2006/relationships" name="Categorias" sheetId="6" r:id="Rb4a240305b564a8a"/>
    <x:sheet xmlns:r="http://schemas.openxmlformats.org/officeDocument/2006/relationships" name="Configuracion" sheetId="7" r:id="R8be506916cd84c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COP&quot; #,##0;[Red]-&quot;COP&quot; #,##0;-"/>
    <x:numFmt numFmtId="201" formatCode="#,##0;[Red]-#,##0;-"/>
    <x:numFmt numFmtId="202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115E59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  <x:font>
      <x:b/>
      <x:sz val="14"/>
      <x:color rgb="FF172033"/>
      <x:name val="Carlito"/>
    </x:font>
    <x:font>
      <x:b/>
      <x:sz val="12"/>
      <x:color rgb="FF172033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DF7F2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EAF2FF"/>
      </x:patternFill>
    </x:fill>
    <x:fill>
      <x:patternFill patternType="solid">
        <x:fgColor rgb="FFEEF2F7"/>
      </x:patternFill>
    </x:fill>
  </x:fills>
  <x:borders count="5">
    <x:border/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1" fontId="4" fillId="4" borderId="1" xfId="0" applyNumberFormat="1" applyFont="1" applyFill="1" applyBorder="1" applyAlignment="1">
      <x:alignment vertical="center"/>
    </x:xf>
    <x:xf numFmtId="201" fontId="5" fillId="4" borderId="1" xfId="0" applyNumberFormat="1" applyFont="1" applyFill="1" applyBorder="1" applyAlignment="1">
      <x:alignment vertical="center"/>
    </x:xf>
    <x:xf numFmtId="201" fontId="5" fillId="4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horizontal="left"/>
    </x:xf>
    <x:xf numFmtId="0" fontId="6" fillId="6" borderId="3" xfId="0" applyNumberFormat="1" applyFont="1" applyFill="1" applyBorder="1" applyAlignment="1">
      <x:alignment horizontal="left"/>
    </x:xf>
    <x:xf numFmtId="0" fontId="6" fillId="6" borderId="4" xfId="0" applyNumberFormat="1" applyFont="1" applyFill="1" applyBorder="1" applyAlignment="1">
      <x:alignment horizontal="left"/>
    </x:xf>
    <x:xf numFmtId="0" fontId="6" fillId="6" borderId="2" xfId="0" applyNumberFormat="1" applyFont="1" applyFill="1" applyBorder="1" applyAlignment="1">
      <x:alignment horizontal="left" vertical="center"/>
    </x:xf>
    <x:xf numFmtId="0" fontId="6" fillId="6" borderId="3" xfId="0" applyNumberFormat="1" applyFont="1" applyFill="1" applyBorder="1" applyAlignment="1">
      <x:alignment horizontal="left" vertical="center"/>
    </x:xf>
    <x:xf numFmtId="0" fontId="6" fillId="6" borderId="4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horizontal="left"/>
    </x:xf>
    <x:xf numFmtId="0" fontId="6" fillId="5" borderId="3" xfId="0" applyNumberFormat="1" applyFont="1" applyFill="1" applyBorder="1" applyAlignment="1">
      <x:alignment horizontal="left"/>
    </x:xf>
    <x:xf numFmtId="0" fontId="6" fillId="5" borderId="4" xfId="0" applyNumberFormat="1" applyFont="1" applyFill="1" applyBorder="1" applyAlignment="1">
      <x:alignment horizontal="left"/>
    </x:xf>
    <x:xf numFmtId="0" fontId="6" fillId="5" borderId="2" xfId="0" applyNumberFormat="1" applyFont="1" applyFill="1" applyBorder="1" applyAlignment="1">
      <x:alignment horizontal="left" vertical="center"/>
    </x:xf>
    <x:xf numFmtId="0" fontId="6" fillId="5" borderId="3" xfId="0" applyNumberFormat="1" applyFont="1" applyFill="1" applyBorder="1" applyAlignment="1">
      <x:alignment horizontal="left" vertical="center"/>
    </x:xf>
    <x:xf numFmtId="0" fontId="6" fillId="5" borderId="4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202" fontId="4" fillId="4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4" xfId="0" applyNumberFormat="1" applyFont="1" applyFill="1" applyBorder="1"/>
    <x:xf numFmtId="0" fontId="6" fillId="3" borderId="2" xfId="0" applyNumberFormat="1" applyFont="1" applyFill="1" applyBorder="1" applyAlignment="1">
      <x:alignment horizontal="left"/>
    </x:xf>
    <x:xf numFmtId="0" fontId="6" fillId="3" borderId="4" xfId="0" applyNumberFormat="1" applyFont="1" applyFill="1" applyBorder="1" applyAlignment="1">
      <x:alignment horizontal="left"/>
    </x:xf>
    <x:xf numFmtId="0" fontId="6" fillId="3" borderId="2" xfId="0" applyNumberFormat="1" applyFont="1" applyFill="1" applyBorder="1" applyAlignment="1">
      <x:alignment horizontal="left" vertical="center"/>
    </x:xf>
    <x:xf numFmtId="0" fontId="6" fillId="3" borderId="4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9b0053d0541cc" /><Relationship Type="http://schemas.openxmlformats.org/officeDocument/2006/relationships/theme" Target="/xl/theme/theme1.xml" Id="Rb856e9bae08443c8" /><Relationship Type="http://schemas.openxmlformats.org/officeDocument/2006/relationships/sharedStrings" Target="/xl/sharedStrings.xml" Id="R9e3b51515ad64c38" /><Relationship Type="http://schemas.openxmlformats.org/officeDocument/2006/relationships/worksheet" Target="/xl/worksheets/sheet1.xml" Id="R90e279e46b004f78" /><Relationship Type="http://schemas.openxmlformats.org/officeDocument/2006/relationships/worksheet" Target="/xl/worksheets/sheet2.xml" Id="R457ffe869dc2412e" /><Relationship Type="http://schemas.openxmlformats.org/officeDocument/2006/relationships/worksheet" Target="/xl/worksheets/sheet3.xml" Id="R731705d5099e4a61" /><Relationship Type="http://schemas.openxmlformats.org/officeDocument/2006/relationships/worksheet" Target="/xl/worksheets/sheet4.xml" Id="Ra5c21d2941674606" /><Relationship Type="http://schemas.openxmlformats.org/officeDocument/2006/relationships/worksheet" Target="/xl/worksheets/sheet5.xml" Id="R3281e762358142fa" /><Relationship Type="http://schemas.openxmlformats.org/officeDocument/2006/relationships/worksheet" Target="/xl/worksheets/sheet6.xml" Id="Rb4a240305b564a8a" /><Relationship Type="http://schemas.openxmlformats.org/officeDocument/2006/relationships/worksheet" Target="/xl/worksheets/sheet7.xml" Id="R8be506916cd84c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1d02dedf1b40bb" /><Relationship Type="http://schemas.openxmlformats.org/officeDocument/2006/relationships/chart" Target="/xl/drawings/charts/chart2.xml" Id="Ra593b0022d6a4b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Ingresos, gastos y utilidad por mes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Ingresos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>"COP" #,##0;[Red]-"COP" #,##0;-</c:formatCode>
                <c:ptCount val="0"/>
              </c:numCache>
            </c:numRef>
          </c:val>
        </c:ser>
        <c:ser>
          <c:idx val="1"/>
          <c:order val="1"/>
          <c:tx>
            <c:v>Gastos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'Dashboard'!$C$10:$C$21</c:f>
              <c:numCache>
                <c:formatCode>"COP" #,##0;[Red]-"COP" #,##0;-</c:formatCode>
                <c:ptCount val="0"/>
              </c:numCache>
            </c:numRef>
          </c:val>
        </c:ser>
        <c:ser>
          <c:idx val="2"/>
          <c:order val="2"/>
          <c:tx>
            <c:v>Utilidad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'Dashboard'!$D$10:$D$21</c:f>
              <c:numCache>
                <c:formatCode>"COP" #,##0;[Red]-"COP" #,##0;-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COP&quot; 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Resultado por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Ingresos</c:v>
          </c:tx>
          <c:cat>
            <c:strRef>
              <c:f>'Dashboard'!$A$26:$A$36</c:f>
              <c:strCache>
                <c:ptCount val="0"/>
              </c:strCache>
            </c:strRef>
          </c:cat>
          <c:val>
            <c:numRef>
              <c:f>'Dashboard'!$B$26:$B$36</c:f>
              <c:numCache>
                <c:formatCode>"COP" #,##0;[Red]-"COP" #,##0;-</c:formatCode>
                <c:ptCount val="0"/>
              </c:numCache>
            </c:numRef>
          </c:val>
        </c:ser>
        <c:ser>
          <c:idx val="1"/>
          <c:order val="1"/>
          <c:tx>
            <c:v>Gastos</c:v>
          </c:tx>
          <c:cat>
            <c:strRef>
              <c:f>'Dashboard'!$A$26:$A$36</c:f>
              <c:strCache>
                <c:ptCount val="0"/>
              </c:strCache>
            </c:strRef>
          </c:cat>
          <c:val>
            <c:numRef>
              <c:f>'Dashboard'!$C$26:$C$36</c:f>
              <c:numCache>
                <c:formatCode>"COP" #,##0;[Red]-"COP" #,##0;-</c:formatCode>
                <c:ptCount val="0"/>
              </c:numCache>
            </c:numRef>
          </c:val>
        </c:ser>
        <c:ser>
          <c:idx val="2"/>
          <c:order val="2"/>
          <c:tx>
            <c:v>Neto</c:v>
          </c:tx>
          <c:cat>
            <c:strRef>
              <c:f>'Dashboard'!$A$26:$A$36</c:f>
              <c:strCache>
                <c:ptCount val="0"/>
              </c:strCache>
            </c:strRef>
          </c:cat>
          <c:val>
            <c:numRef>
              <c:f>'Dashboard'!$D$26:$D$36</c:f>
              <c:numCache>
                <c:formatCode>"COP" #,##0;[Red]-"COP" #,##0;-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COP&quot; 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14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1d02dedf1b40bb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13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93b0022d6a4b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vimientosTable" displayName="MovimientosTable" ref="A5:M205" headerRowCount="1">
  <x:tableColumns count="13">
    <x:tableColumn id="1" name="Fecha"/>
    <x:tableColumn id="2" name="Tipo"/>
    <x:tableColumn id="3" name="Cuenta"/>
    <x:tableColumn id="4" name="Categoria"/>
    <x:tableColumn id="5" name="Descripcion"/>
    <x:tableColumn id="6" name="Tercero"/>
    <x:tableColumn id="7" name="Metodo de pago"/>
    <x:tableColumn id="8" name="Referencia"/>
    <x:tableColumn id="9" name="Ingreso"/>
    <x:tableColumn id="10" name="Gasto"/>
    <x:tableColumn id="11" name="Saldo"/>
    <x:tableColumn id="12" name="Mes"/>
    <x:tableColumn id="13" name="ID"/>
  </x:tableColumns>
  <x:tableStyleInfo name="TableStyleMedium2" showRowStripes="1"/>
</x:table>
</file>

<file path=xl/tables/table2.xml><?xml version="1.0" encoding="utf-8"?>
<x:table xmlns:x="http://schemas.openxmlformats.org/spreadsheetml/2006/main" id="2" name="FacturasTable" displayName="FacturasTable" ref="A5:K105" headerRowCount="1">
  <x:tableColumns count="11">
    <x:tableColumn id="1" name="Fecha"/>
    <x:tableColumn id="2" name="Tipo"/>
    <x:tableColumn id="3" name="Nombre"/>
    <x:tableColumn id="4" name="Descripcion"/>
    <x:tableColumn id="5" name="Total"/>
    <x:tableColumn id="6" name="Pagado"/>
    <x:tableColumn id="7" name="Pendiente"/>
    <x:tableColumn id="8" name="Vencimiento"/>
    <x:tableColumn id="9" name="Estado"/>
    <x:tableColumn id="10" name="Referencia"/>
    <x:tableColumn id="11" name="ID"/>
  </x:tableColumns>
  <x:tableStyleInfo name="TableStyleMedium2" showRowStripes="1"/>
</x:table>
</file>

<file path=xl/tables/table3.xml><?xml version="1.0" encoding="utf-8"?>
<x:table xmlns:x="http://schemas.openxmlformats.org/spreadsheetml/2006/main" id="3" name="ClientesTable" displayName="ClientesTable" ref="A5:G105" headerRowCount="1">
  <x:tableColumns count="7">
    <x:tableColumn id="1" name="ID"/>
    <x:tableColumn id="2" name="Nombre"/>
    <x:tableColumn id="3" name="Telefono"/>
    <x:tableColumn id="4" name="Email"/>
    <x:tableColumn id="5" name="Direccion"/>
    <x:tableColumn id="6" name="Notas"/>
    <x:tableColumn id="7" name="Pendiente"/>
  </x:tableColumns>
  <x:tableStyleInfo name="TableStyleMedium2" showRowStripes="1"/>
</x:table>
</file>

<file path=xl/tables/table4.xml><?xml version="1.0" encoding="utf-8"?>
<x:table xmlns:x="http://schemas.openxmlformats.org/spreadsheetml/2006/main" id="4" name="ProveedoresTable" displayName="ProveedoresTable" ref="A5:G105" headerRowCount="1">
  <x:tableColumns count="7">
    <x:tableColumn id="1" name="ID"/>
    <x:tableColumn id="2" name="Nombre"/>
    <x:tableColumn id="3" name="Telefono"/>
    <x:tableColumn id="4" name="Email"/>
    <x:tableColumn id="5" name="Direccion"/>
    <x:tableColumn id="6" name="Notas"/>
    <x:tableColumn id="7" name="Pendiente"/>
  </x:tableColumns>
  <x:tableStyleInfo name="TableStyleMedium2" showRowStripes="1"/>
</x:table>
</file>

<file path=xl/tables/table5.xml><?xml version="1.0" encoding="utf-8"?>
<x:table xmlns:x="http://schemas.openxmlformats.org/spreadsheetml/2006/main" id="5" name="CategoriasTable" displayName="CategoriasTable" ref="A5:C16" headerRowCount="1">
  <x:tableColumns count="3">
    <x:tableColumn id="1" name="Tipo"/>
    <x:tableColumn id="2" name="Categoria"/>
    <x:tableColumn id="3" name="Descrip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c7adc97a014c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57d94d92d44a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02ca20293e48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dec014faba4c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10eab7492d49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537917563043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5.630000114440918" hidden="0" customWidth="1"/>
    <x:col min="3" max="3" width="15.630000114440918" hidden="0" customWidth="1"/>
    <x:col min="4" max="4" width="15.630000114440918" hidden="0" customWidth="1"/>
    <x:col min="5" max="5" width="3.75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18.1299991607666" hidden="0" customWidth="1"/>
  </x:cols>
  <x:sheetData>
    <x:row r="1" ht="31.5" customHeight="1">
      <x:c r="A1" s="4" t="str">
        <x:v>Sistema Contable</x:v>
      </x:c>
      <x:c r="B1" s="4" t="str">
        <x:v>Sistema Contable</x:v>
      </x:c>
      <x:c r="C1" s="4" t="str">
        <x:v>Sistema Contable</x:v>
      </x:c>
      <x:c r="D1" s="4" t="str">
        <x:v>Sistema Contable</x:v>
      </x:c>
      <x:c r="E1" s="4" t="str">
        <x:v>Sistema Contable</x:v>
      </x:c>
      <x:c r="F1" s="4" t="str">
        <x:v>Sistema Contable</x:v>
      </x:c>
      <x:c r="G1" s="4" t="str">
        <x:v>Sistema Contable</x:v>
      </x:c>
      <x:c r="H1" s="4" t="str">
        <x:v>Sistema Contable</x:v>
      </x:c>
    </x:row>
    <x:row r="2">
      <x:c r="A2" s="8" t="str">
        <x:v>Panel principal - valores en COP</x:v>
      </x:c>
      <x:c r="B2" s="8" t="str">
        <x:v>Panel principal - valores en COP</x:v>
      </x:c>
      <x:c r="C2" s="8" t="str">
        <x:v>Panel principal - valores en COP</x:v>
      </x:c>
      <x:c r="D2" s="8" t="str">
        <x:v>Panel principal - valores en COP</x:v>
      </x:c>
      <x:c r="E2" s="8" t="str">
        <x:v>Panel principal - valores en COP</x:v>
      </x:c>
      <x:c r="F2" s="8" t="str">
        <x:v>Panel principal - valores en COP</x:v>
      </x:c>
      <x:c r="G2" s="8" t="str">
        <x:v>Panel principal - valores en COP</x:v>
      </x:c>
      <x:c r="H2" s="8" t="str">
        <x:v>Panel principal - valores en COP</x:v>
      </x:c>
    </x:row>
    <x:row r="4">
      <x:c r="A4" s="13" t="str">
        <x:v>Ingresos</x:v>
      </x:c>
      <x:c r="B4" s="13" t="str">
        <x:v>Gastos</x:v>
      </x:c>
      <x:c r="C4" s="13" t="str">
        <x:v>Utilidad</x:v>
      </x:c>
      <x:c r="D4" s="13" t="str">
        <x:v>Saldo</x:v>
      </x:c>
      <x:c r="F4" s="26" t="str">
        <x:v>Facturas pendientes</x:v>
      </x:c>
      <x:c r="G4" s="26" t="str">
        <x:v>Facturas vencidas</x:v>
      </x:c>
      <x:c r="H4" s="26" t="str">
        <x:v>Clientes</x:v>
      </x:c>
    </x:row>
    <x:row r="5">
      <x:c r="A5" s="20" t="n">
        <x:f>SUM(Movimientos!I6:I205)</x:f>
        <x:v>2330000</x:v>
      </x:c>
      <x:c r="B5" s="20" t="n">
        <x:f>SUM(Movimientos!J6:J205)</x:f>
        <x:v>703000</x:v>
      </x:c>
      <x:c r="C5" s="20" t="n">
        <x:f>A5-B5</x:f>
        <x:v>1627000</x:v>
      </x:c>
      <x:c r="D5" s="20" t="n">
        <x:f>C5</x:f>
        <x:v>1627000</x:v>
      </x:c>
      <x:c r="F5" s="20" t="n">
        <x:f>SUM(Facturas!G6:G105)</x:f>
        <x:v>948000</x:v>
      </x:c>
      <x:c r="G5" s="29" t="n">
        <x:f>COUNTIF(Facturas!I6:I105,"Vencida")</x:f>
        <x:v>1</x:v>
      </x:c>
      <x:c r="H5" s="29" t="n">
        <x:f>COUNTA(Clientes!B6:B105)</x:f>
        <x:v>100</x:v>
      </x:c>
    </x:row>
    <x:row r="8">
      <x:c r="A8" s="38" t="str">
        <x:v>Resumen mensual</x:v>
      </x:c>
      <x:c r="B8" s="39" t="str">
        <x:v>Resumen mensual</x:v>
      </x:c>
      <x:c r="C8" s="39" t="str">
        <x:v>Resumen mensual</x:v>
      </x:c>
      <x:c r="D8" s="40" t="str">
        <x:v>Resumen mensual</x:v>
      </x:c>
      <x:c r="F8" s="54" t="str">
        <x:v>Alertas</x:v>
      </x:c>
      <x:c r="G8" s="55" t="str">
        <x:v>Alertas</x:v>
      </x:c>
      <x:c r="H8" s="56" t="str">
        <x:v>Alertas</x:v>
      </x:c>
    </x:row>
    <x:row r="9">
      <x:c r="A9" s="46" t="str">
        <x:v>Mes</x:v>
      </x:c>
      <x:c r="B9" s="46" t="str">
        <x:v>Ingresos</x:v>
      </x:c>
      <x:c r="C9" s="46" t="str">
        <x:v>Gastos</x:v>
      </x:c>
      <x:c r="D9" s="46" t="str">
        <x:v>Utilidad</x:v>
      </x:c>
      <x:c r="F9" s="46" t="str">
        <x:v>Alerta</x:v>
      </x:c>
      <x:c r="G9" s="46" t="str">
        <x:v>Valor</x:v>
      </x:c>
      <x:c r="H9" s="46" t="str">
        <x:v>Estado</x:v>
      </x:c>
    </x:row>
    <x:row r="10">
      <x:c r="A10" s="17" t="str">
        <x:v>2026-01</x:v>
      </x:c>
      <x:c r="B10" s="18" t="n">
        <x:f>SUMIF(Movimientos!L6:L205,A10,Movimientos!I6:I205)</x:f>
        <x:v>0</x:v>
      </x:c>
      <x:c r="C10" s="18" t="n">
        <x:f>SUMIF(Movimientos!L6:L205,A10,Movimientos!J6:J205)</x:f>
        <x:v>0</x:v>
      </x:c>
      <x:c r="D10" s="18" t="n">
        <x:f>B10-C10</x:f>
        <x:v>0</x:v>
      </x:c>
      <x:c r="F10" s="17" t="str">
        <x:v>Facturas vencidas</x:v>
      </x:c>
      <x:c r="G10" s="27" t="n">
        <x:f>G5</x:f>
        <x:v>1</x:v>
      </x:c>
      <x:c r="H10" s="17" t="str">
        <x:f>IF(G5&gt;0,"Revisar","OK")</x:f>
        <x:v>Revisar</x:v>
      </x:c>
    </x:row>
    <x:row r="11">
      <x:c r="A11" s="17" t="str">
        <x:v>2026-02</x:v>
      </x:c>
      <x:c r="B11" s="18" t="n">
        <x:f>SUMIF(Movimientos!L6:L205,A11,Movimientos!I6:I205)</x:f>
        <x:v>0</x:v>
      </x:c>
      <x:c r="C11" s="18" t="n">
        <x:f>SUMIF(Movimientos!L6:L205,A11,Movimientos!J6:J205)</x:f>
        <x:v>0</x:v>
      </x:c>
      <x:c r="D11" s="18" t="n">
        <x:f>B11-C11</x:f>
        <x:v>0</x:v>
      </x:c>
      <x:c r="F11" s="17" t="str">
        <x:v>Utilidad del mes</x:v>
      </x:c>
      <x:c r="G11" s="18" t="n">
        <x:f>SUMIF(A10:A21,TEXT(TODAY(),"yyyy-mm"),D10:D21)</x:f>
        <x:v>1627000</x:v>
      </x:c>
      <x:c r="H11" s="17" t="str">
        <x:f>IF(G10&lt;0,"Perdida","OK")</x:f>
        <x:v>OK</x:v>
      </x:c>
    </x:row>
    <x:row r="12">
      <x:c r="A12" s="17" t="str">
        <x:v>2026-03</x:v>
      </x:c>
      <x:c r="B12" s="18" t="n">
        <x:f>SUMIF(Movimientos!L6:L205,A12,Movimientos!I6:I205)</x:f>
        <x:v>0</x:v>
      </x:c>
      <x:c r="C12" s="18" t="n">
        <x:f>SUMIF(Movimientos!L6:L205,A12,Movimientos!J6:J205)</x:f>
        <x:v>0</x:v>
      </x:c>
      <x:c r="D12" s="18" t="n">
        <x:f>B12-C12</x:f>
        <x:v>0</x:v>
      </x:c>
      <x:c r="F12" s="17" t="str">
        <x:v>Gasto del mes</x:v>
      </x:c>
      <x:c r="G12" s="18" t="n">
        <x:f>SUMIF(A10:A21,TEXT(TODAY(),"yyyy-mm"),C10:C21)</x:f>
        <x:v>703000</x:v>
      </x:c>
      <x:c r="H12" s="17" t="str">
        <x:f>IF(G11&gt;SUMIF(A10:A21,TEXT(TODAY(),"yyyy-mm"),B10:B21)*0.75,"Alto","OK")</x:f>
        <x:v>OK</x:v>
      </x:c>
    </x:row>
    <x:row r="13">
      <x:c r="A13" s="17" t="str">
        <x:v>2026-04</x:v>
      </x:c>
      <x:c r="B13" s="18" t="n">
        <x:f>SUMIF(Movimientos!L6:L205,A13,Movimientos!I6:I205)</x:f>
        <x:v>0</x:v>
      </x:c>
      <x:c r="C13" s="18" t="n">
        <x:f>SUMIF(Movimientos!L6:L205,A13,Movimientos!J6:J205)</x:f>
        <x:v>0</x:v>
      </x:c>
      <x:c r="D13" s="18" t="n">
        <x:f>B13-C13</x:f>
        <x:v>0</x:v>
      </x:c>
      <x:c r="F13" s="17" t="str">
        <x:v>Saldo disponible</x:v>
      </x:c>
      <x:c r="G13" s="18" t="n">
        <x:f>D5</x:f>
        <x:v>1627000</x:v>
      </x:c>
      <x:c r="H13" s="17" t="str">
        <x:f>IF(G12&lt;0,"Negativo","OK")</x:f>
        <x:v>OK</x:v>
      </x:c>
    </x:row>
    <x:row r="14">
      <x:c r="A14" s="17" t="str">
        <x:v>2026-05</x:v>
      </x:c>
      <x:c r="B14" s="18" t="n">
        <x:f>SUMIF(Movimientos!L6:L205,A14,Movimientos!I6:I205)</x:f>
        <x:v>0</x:v>
      </x:c>
      <x:c r="C14" s="18" t="n">
        <x:f>SUMIF(Movimientos!L6:L205,A14,Movimientos!J6:J205)</x:f>
        <x:v>0</x:v>
      </x:c>
      <x:c r="D14" s="18" t="n">
        <x:f>B14-C14</x:f>
        <x:v>0</x:v>
      </x:c>
    </x:row>
    <x:row r="15">
      <x:c r="A15" s="17" t="str">
        <x:v>2026-06</x:v>
      </x:c>
      <x:c r="B15" s="18" t="n">
        <x:f>SUMIF(Movimientos!L6:L205,A15,Movimientos!I6:I205)</x:f>
        <x:v>2330000</x:v>
      </x:c>
      <x:c r="C15" s="18" t="n">
        <x:f>SUMIF(Movimientos!L6:L205,A15,Movimientos!J6:J205)</x:f>
        <x:v>703000</x:v>
      </x:c>
      <x:c r="D15" s="18" t="n">
        <x:f>B15-C15</x:f>
        <x:v>1627000</x:v>
      </x:c>
    </x:row>
    <x:row r="16">
      <x:c r="A16" s="17" t="str">
        <x:v>2026-07</x:v>
      </x:c>
      <x:c r="B16" s="18" t="n">
        <x:f>SUMIF(Movimientos!L6:L205,A16,Movimientos!I6:I205)</x:f>
        <x:v>0</x:v>
      </x:c>
      <x:c r="C16" s="18" t="n">
        <x:f>SUMIF(Movimientos!L6:L205,A16,Movimientos!J6:J205)</x:f>
        <x:v>0</x:v>
      </x:c>
      <x:c r="D16" s="18" t="n">
        <x:f>B16-C16</x:f>
        <x:v>0</x:v>
      </x:c>
    </x:row>
    <x:row r="17">
      <x:c r="A17" s="17" t="str">
        <x:v>2026-08</x:v>
      </x:c>
      <x:c r="B17" s="18" t="n">
        <x:f>SUMIF(Movimientos!L6:L205,A17,Movimientos!I6:I205)</x:f>
        <x:v>0</x:v>
      </x:c>
      <x:c r="C17" s="18" t="n">
        <x:f>SUMIF(Movimientos!L6:L205,A17,Movimientos!J6:J205)</x:f>
        <x:v>0</x:v>
      </x:c>
      <x:c r="D17" s="18" t="n">
        <x:f>B17-C17</x:f>
        <x:v>0</x:v>
      </x:c>
    </x:row>
    <x:row r="18">
      <x:c r="A18" s="17" t="str">
        <x:v>2026-09</x:v>
      </x:c>
      <x:c r="B18" s="18" t="n">
        <x:f>SUMIF(Movimientos!L6:L205,A18,Movimientos!I6:I205)</x:f>
        <x:v>0</x:v>
      </x:c>
      <x:c r="C18" s="18" t="n">
        <x:f>SUMIF(Movimientos!L6:L205,A18,Movimientos!J6:J205)</x:f>
        <x:v>0</x:v>
      </x:c>
      <x:c r="D18" s="18" t="n">
        <x:f>B18-C18</x:f>
        <x:v>0</x:v>
      </x:c>
    </x:row>
    <x:row r="19">
      <x:c r="A19" s="17" t="str">
        <x:v>2026-10</x:v>
      </x:c>
      <x:c r="B19" s="18" t="n">
        <x:f>SUMIF(Movimientos!L6:L205,A19,Movimientos!I6:I205)</x:f>
        <x:v>0</x:v>
      </x:c>
      <x:c r="C19" s="18" t="n">
        <x:f>SUMIF(Movimientos!L6:L205,A19,Movimientos!J6:J205)</x:f>
        <x:v>0</x:v>
      </x:c>
      <x:c r="D19" s="18" t="n">
        <x:f>B19-C19</x:f>
        <x:v>0</x:v>
      </x:c>
    </x:row>
    <x:row r="20">
      <x:c r="A20" s="17" t="str">
        <x:v>2026-11</x:v>
      </x:c>
      <x:c r="B20" s="18" t="n">
        <x:f>SUMIF(Movimientos!L6:L205,A20,Movimientos!I6:I205)</x:f>
        <x:v>0</x:v>
      </x:c>
      <x:c r="C20" s="18" t="n">
        <x:f>SUMIF(Movimientos!L6:L205,A20,Movimientos!J6:J205)</x:f>
        <x:v>0</x:v>
      </x:c>
      <x:c r="D20" s="18" t="n">
        <x:f>B20-C20</x:f>
        <x:v>0</x:v>
      </x:c>
    </x:row>
    <x:row r="21">
      <x:c r="A21" s="17" t="str">
        <x:v>2026-12</x:v>
      </x:c>
      <x:c r="B21" s="18" t="n">
        <x:f>SUMIF(Movimientos!L6:L205,A21,Movimientos!I6:I205)</x:f>
        <x:v>0</x:v>
      </x:c>
      <x:c r="C21" s="18" t="n">
        <x:f>SUMIF(Movimientos!L6:L205,A21,Movimientos!J6:J205)</x:f>
        <x:v>0</x:v>
      </x:c>
      <x:c r="D21" s="18" t="n">
        <x:f>B21-C21</x:f>
        <x:v>0</x:v>
      </x:c>
    </x:row>
    <x:row r="24">
      <x:c r="A24" s="38" t="str">
        <x:v>Resumen por categoria</x:v>
      </x:c>
      <x:c r="B24" s="39" t="str">
        <x:v>Resumen por categoria</x:v>
      </x:c>
      <x:c r="C24" s="39" t="str">
        <x:v>Resumen por categoria</x:v>
      </x:c>
      <x:c r="D24" s="40" t="str">
        <x:v>Resumen por categoria</x:v>
      </x:c>
    </x:row>
    <x:row r="25">
      <x:c r="A25" s="46" t="str">
        <x:v>Categoria</x:v>
      </x:c>
      <x:c r="B25" s="46" t="str">
        <x:v>Ingresos</x:v>
      </x:c>
      <x:c r="C25" s="46" t="str">
        <x:v>Gastos</x:v>
      </x:c>
      <x:c r="D25" s="46" t="str">
        <x:v>Neto</x:v>
      </x:c>
    </x:row>
    <x:row r="26">
      <x:c r="A26" s="17" t="str">
        <x:v>Ventas</x:v>
      </x:c>
      <x:c r="B26" s="18" t="n">
        <x:f>SUMIF(Movimientos!D6:D205,A26,Movimientos!I6:I205)</x:f>
        <x:v>1790000</x:v>
      </x:c>
      <x:c r="C26" s="18" t="n">
        <x:f>SUMIF(Movimientos!D6:D205,A26,Movimientos!J6:J205)</x:f>
        <x:v>0</x:v>
      </x:c>
      <x:c r="D26" s="18" t="n">
        <x:f>B26-C26</x:f>
        <x:v>1790000</x:v>
      </x:c>
    </x:row>
    <x:row r="27">
      <x:c r="A27" s="17" t="str">
        <x:v>Servicios</x:v>
      </x:c>
      <x:c r="B27" s="18" t="n">
        <x:f>SUMIF(Movimientos!D6:D205,A27,Movimientos!I6:I205)</x:f>
        <x:v>360000</x:v>
      </x:c>
      <x:c r="C27" s="18" t="n">
        <x:f>SUMIF(Movimientos!D6:D205,A27,Movimientos!J6:J205)</x:f>
        <x:v>0</x:v>
      </x:c>
      <x:c r="D27" s="18" t="n">
        <x:f>B27-C27</x:f>
        <x:v>360000</x:v>
      </x:c>
    </x:row>
    <x:row r="28">
      <x:c r="A28" s="17" t="str">
        <x:v>Otros ingresos</x:v>
      </x:c>
      <x:c r="B28" s="18" t="n">
        <x:f>SUMIF(Movimientos!D6:D205,A28,Movimientos!I6:I205)</x:f>
        <x:v>180000</x:v>
      </x:c>
      <x:c r="C28" s="18" t="n">
        <x:f>SUMIF(Movimientos!D6:D205,A28,Movimientos!J6:J205)</x:f>
        <x:v>0</x:v>
      </x:c>
      <x:c r="D28" s="18" t="n">
        <x:f>B28-C28</x:f>
        <x:v>180000</x:v>
      </x:c>
    </x:row>
    <x:row r="29">
      <x:c r="A29" s="17" t="str">
        <x:v>Compras</x:v>
      </x:c>
      <x:c r="B29" s="18" t="n">
        <x:f>SUMIF(Movimientos!D6:D205,A29,Movimientos!I6:I205)</x:f>
        <x:v>0</x:v>
      </x:c>
      <x:c r="C29" s="18" t="n">
        <x:f>SUMIF(Movimientos!D6:D205,A29,Movimientos!J6:J205)</x:f>
        <x:v>420000</x:v>
      </x:c>
      <x:c r="D29" s="18" t="n">
        <x:f>B29-C29</x:f>
        <x:v>-420000</x:v>
      </x:c>
    </x:row>
    <x:row r="30">
      <x:c r="A30" s="17" t="str">
        <x:v>Arriendo</x:v>
      </x:c>
      <x:c r="B30" s="18" t="n">
        <x:f>SUMIF(Movimientos!D6:D205,A30,Movimientos!I6:I205)</x:f>
        <x:v>0</x:v>
      </x:c>
      <x:c r="C30" s="18" t="n">
        <x:f>SUMIF(Movimientos!D6:D205,A30,Movimientos!J6:J205)</x:f>
        <x:v>0</x:v>
      </x:c>
      <x:c r="D30" s="18" t="n">
        <x:f>B30-C30</x:f>
        <x:v>0</x:v>
      </x:c>
    </x:row>
    <x:row r="31">
      <x:c r="A31" s="17" t="str">
        <x:v>Servicios publicos</x:v>
      </x:c>
      <x:c r="B31" s="18" t="n">
        <x:f>SUMIF(Movimientos!D6:D205,A31,Movimientos!I6:I205)</x:f>
        <x:v>0</x:v>
      </x:c>
      <x:c r="C31" s="18" t="n">
        <x:f>SUMIF(Movimientos!D6:D205,A31,Movimientos!J6:J205)</x:f>
        <x:v>98000</x:v>
      </x:c>
      <x:c r="D31" s="18" t="n">
        <x:f>B31-C31</x:f>
        <x:v>-98000</x:v>
      </x:c>
    </x:row>
    <x:row r="32">
      <x:c r="A32" s="17" t="str">
        <x:v>Nomina</x:v>
      </x:c>
      <x:c r="B32" s="18" t="n">
        <x:f>SUMIF(Movimientos!D6:D205,A32,Movimientos!I6:I205)</x:f>
        <x:v>0</x:v>
      </x:c>
      <x:c r="C32" s="18" t="n">
        <x:f>SUMIF(Movimientos!D6:D205,A32,Movimientos!J6:J205)</x:f>
        <x:v>0</x:v>
      </x:c>
      <x:c r="D32" s="18" t="n">
        <x:f>B32-C32</x:f>
        <x:v>0</x:v>
      </x:c>
    </x:row>
    <x:row r="33">
      <x:c r="A33" s="17" t="str">
        <x:v>Transporte</x:v>
      </x:c>
      <x:c r="B33" s="18" t="n">
        <x:f>SUMIF(Movimientos!D6:D205,A33,Movimientos!I6:I205)</x:f>
        <x:v>0</x:v>
      </x:c>
      <x:c r="C33" s="18" t="n">
        <x:f>SUMIF(Movimientos!D6:D205,A33,Movimientos!J6:J205)</x:f>
        <x:v>65000</x:v>
      </x:c>
      <x:c r="D33" s="18" t="n">
        <x:f>B33-C33</x:f>
        <x:v>-65000</x:v>
      </x:c>
    </x:row>
    <x:row r="34">
      <x:c r="A34" s="17" t="str">
        <x:v>Marketing</x:v>
      </x:c>
      <x:c r="B34" s="18" t="n">
        <x:f>SUMIF(Movimientos!D6:D205,A34,Movimientos!I6:I205)</x:f>
        <x:v>0</x:v>
      </x:c>
      <x:c r="C34" s="18" t="n">
        <x:f>SUMIF(Movimientos!D6:D205,A34,Movimientos!J6:J205)</x:f>
        <x:v>120000</x:v>
      </x:c>
      <x:c r="D34" s="18" t="n">
        <x:f>B34-C34</x:f>
        <x:v>-120000</x:v>
      </x:c>
    </x:row>
    <x:row r="35">
      <x:c r="A35" s="17" t="str">
        <x:v>Impuestos</x:v>
      </x:c>
      <x:c r="B35" s="18" t="n">
        <x:f>SUMIF(Movimientos!D6:D205,A35,Movimientos!I6:I205)</x:f>
        <x:v>0</x:v>
      </x:c>
      <x:c r="C35" s="18" t="n">
        <x:f>SUMIF(Movimientos!D6:D205,A35,Movimientos!J6:J205)</x:f>
        <x:v>0</x:v>
      </x:c>
      <x:c r="D35" s="18" t="n">
        <x:f>B35-C35</x:f>
        <x:v>0</x:v>
      </x:c>
    </x:row>
    <x:row r="36">
      <x:c r="A36" s="17" t="str">
        <x:v>Otros gastos</x:v>
      </x:c>
      <x:c r="B36" s="18" t="n">
        <x:f>SUMIF(Movimientos!D6:D205,A36,Movimientos!I6:I205)</x:f>
        <x:v>0</x:v>
      </x:c>
      <x:c r="C36" s="18" t="n">
        <x:f>SUMIF(Movimientos!D6:D205,A36,Movimientos!J6:J205)</x:f>
        <x:v>0</x:v>
      </x:c>
      <x:c r="D36" s="18" t="n">
        <x:f>B36-C36</x:f>
        <x:v>0</x:v>
      </x:c>
    </x:row>
  </x:sheetData>
  <x:mergeCells>
    <x:mergeCell ref="A1:H1"/>
    <x:mergeCell ref="A2:H2"/>
    <x:mergeCell ref="A8:D8"/>
    <x:mergeCell ref="A24:D24"/>
    <x:mergeCell ref="F8:H8"/>
  </x:mergeCells>
  <x:pageMargins left="0.7" right="0.7" top="0.75" bottom="0.75" header="0.3" footer="0.3"/>
  <x:drawing xmlns:r="http://schemas.openxmlformats.org/officeDocument/2006/relationships" r:id="R36c7adc97a014c5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2.5" hidden="0" customWidth="1"/>
    <x:col min="3" max="3" width="12.5" hidden="0" customWidth="1"/>
    <x:col min="4" max="4" width="16.8799991607666" hidden="0" customWidth="1"/>
    <x:col min="5" max="5" width="27.5" hidden="0" customWidth="1"/>
    <x:col min="6" max="6" width="17.5" hidden="0" customWidth="1"/>
    <x:col min="7" max="7" width="15" hidden="0" customWidth="1"/>
    <x:col min="8" max="8" width="15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1.880000114440918" hidden="0" customWidth="1"/>
    <x:col min="13" max="13" width="11.880000114440918" hidden="0" customWidth="1"/>
  </x:cols>
  <x:sheetData>
    <x:row r="1" ht="31.5" customHeight="1">
      <x:c r="A1" s="4" t="str">
        <x:v>Movimientos</x:v>
      </x:c>
      <x:c r="B1" s="4" t="str">
        <x:v>Movimientos</x:v>
      </x:c>
      <x:c r="C1" s="4" t="str">
        <x:v>Movimientos</x:v>
      </x:c>
      <x:c r="D1" s="4" t="str">
        <x:v>Movimientos</x:v>
      </x:c>
      <x:c r="E1" s="4" t="str">
        <x:v>Movimientos</x:v>
      </x:c>
      <x:c r="F1" s="4" t="str">
        <x:v>Movimientos</x:v>
      </x:c>
      <x:c r="G1" s="4" t="str">
        <x:v>Movimientos</x:v>
      </x:c>
      <x:c r="H1" s="4" t="str">
        <x:v>Movimientos</x:v>
      </x:c>
      <x:c r="I1" s="4" t="str">
        <x:v>Movimientos</x:v>
      </x:c>
      <x:c r="J1" s="4" t="str">
        <x:v>Movimientos</x:v>
      </x:c>
      <x:c r="K1" s="4" t="str">
        <x:v>Movimientos</x:v>
      </x:c>
      <x:c r="L1" s="4" t="str">
        <x:v>Movimientos</x:v>
      </x:c>
      <x:c r="M1" s="4" t="str">
        <x:v>Movimientos</x:v>
      </x:c>
    </x:row>
    <x:row r="2">
      <x:c r="A2" s="8" t="str">
        <x:v>Registro diario de ingresos y gastos</x:v>
      </x:c>
      <x:c r="B2" s="8" t="str">
        <x:v>Registro diario de ingresos y gastos</x:v>
      </x:c>
      <x:c r="C2" s="8" t="str">
        <x:v>Registro diario de ingresos y gastos</x:v>
      </x:c>
      <x:c r="D2" s="8" t="str">
        <x:v>Registro diario de ingresos y gastos</x:v>
      </x:c>
      <x:c r="E2" s="8" t="str">
        <x:v>Registro diario de ingresos y gastos</x:v>
      </x:c>
      <x:c r="F2" s="8" t="str">
        <x:v>Registro diario de ingresos y gastos</x:v>
      </x:c>
      <x:c r="G2" s="8" t="str">
        <x:v>Registro diario de ingresos y gastos</x:v>
      </x:c>
      <x:c r="H2" s="8" t="str">
        <x:v>Registro diario de ingresos y gastos</x:v>
      </x:c>
    </x:row>
    <x:row r="5">
      <x:c r="A5" s="62" t="str">
        <x:v>Fecha</x:v>
      </x:c>
      <x:c r="B5" s="62" t="str">
        <x:v>Tipo</x:v>
      </x:c>
      <x:c r="C5" s="62" t="str">
        <x:v>Cuenta</x:v>
      </x:c>
      <x:c r="D5" s="62" t="str">
        <x:v>Categoria</x:v>
      </x:c>
      <x:c r="E5" s="62" t="str">
        <x:v>Descripcion</x:v>
      </x:c>
      <x:c r="F5" s="62" t="str">
        <x:v>Tercero</x:v>
      </x:c>
      <x:c r="G5" s="62" t="str">
        <x:v>Metodo de pago</x:v>
      </x:c>
      <x:c r="H5" s="62" t="str">
        <x:v>Referencia</x:v>
      </x:c>
      <x:c r="I5" s="62" t="str">
        <x:v>Ingreso</x:v>
      </x:c>
      <x:c r="J5" s="62" t="str">
        <x:v>Gasto</x:v>
      </x:c>
      <x:c r="K5" s="62" t="str">
        <x:v>Saldo</x:v>
      </x:c>
      <x:c r="L5" s="62" t="str">
        <x:v>Mes</x:v>
      </x:c>
      <x:c r="M5" s="62" t="str">
        <x:v>ID</x:v>
      </x:c>
    </x:row>
    <x:row r="6">
      <x:c r="A6" s="63" t="n">
        <x:v>46174</x:v>
      </x:c>
      <x:c r="B6" s="17" t="str">
        <x:v>Ingreso</x:v>
      </x:c>
      <x:c r="C6" s="17" t="str">
        <x:v>Banco</x:v>
      </x:c>
      <x:c r="D6" s="17" t="str">
        <x:v>Ventas</x:v>
      </x:c>
      <x:c r="E6" s="17" t="str">
        <x:v>Venta contado</x:v>
      </x:c>
      <x:c r="F6" s="17" t="str">
        <x:v>Cliente general</x:v>
      </x:c>
      <x:c r="G6" s="17" t="str">
        <x:v>Transferencia</x:v>
      </x:c>
      <x:c r="H6" s="17" t="str">
        <x:v>REC-001</x:v>
      </x:c>
      <x:c r="I6" s="18" t="n">
        <x:v>1250000</x:v>
      </x:c>
      <x:c r="J6" s="18" t="n">
        <x:v>0</x:v>
      </x:c>
      <x:c r="K6" s="18" t="n">
        <x:f>IF(AND(I6="",J6=""),"",SUM($I$6:I6)-SUM($J$6:J6))</x:f>
        <x:v>1250000</x:v>
      </x:c>
      <x:c r="L6" s="17" t="str">
        <x:f>IF(A6="","",TEXT(A6,"yyyy-mm"))</x:f>
        <x:v>2026-06</x:v>
      </x:c>
      <x:c r="M6" s="17" t="str">
        <x:f>IF(A6="","","MOV-"&amp;TEXT(ROW()-5,"0000"))</x:f>
        <x:v>MOV-0001</x:v>
      </x:c>
    </x:row>
    <x:row r="7">
      <x:c r="A7" s="63" t="n">
        <x:v>46175</x:v>
      </x:c>
      <x:c r="B7" s="17" t="str">
        <x:v>Gasto</x:v>
      </x:c>
      <x:c r="C7" s="17" t="str">
        <x:v>Banco</x:v>
      </x:c>
      <x:c r="D7" s="17" t="str">
        <x:v>Compras</x:v>
      </x:c>
      <x:c r="E7" s="17" t="str">
        <x:v>Compra de inventario</x:v>
      </x:c>
      <x:c r="F7" s="17" t="str">
        <x:v>Proveedor Norte</x:v>
      </x:c>
      <x:c r="G7" s="17" t="str">
        <x:v>Transferencia</x:v>
      </x:c>
      <x:c r="H7" s="17" t="str">
        <x:v>FAC-P001</x:v>
      </x:c>
      <x:c r="I7" s="18" t="n">
        <x:v>0</x:v>
      </x:c>
      <x:c r="J7" s="18" t="n">
        <x:v>420000</x:v>
      </x:c>
      <x:c r="K7" s="18" t="n">
        <x:f>IF(AND(I7="",J7=""),"",SUM($I$6:I7)-SUM($J$6:J7))</x:f>
        <x:v>830000</x:v>
      </x:c>
      <x:c r="L7" s="17" t="str">
        <x:f>IF(A7="","",TEXT(A7,"yyyy-mm"))</x:f>
        <x:v>2026-06</x:v>
      </x:c>
      <x:c r="M7" s="17" t="str">
        <x:f>IF(A7="","","MOV-"&amp;TEXT(ROW()-5,"0000"))</x:f>
        <x:v>MOV-0002</x:v>
      </x:c>
    </x:row>
    <x:row r="8">
      <x:c r="A8" s="63" t="n">
        <x:v>46176</x:v>
      </x:c>
      <x:c r="B8" s="17" t="str">
        <x:v>Ingreso</x:v>
      </x:c>
      <x:c r="C8" s="17" t="str">
        <x:v>Caja</x:v>
      </x:c>
      <x:c r="D8" s="17" t="str">
        <x:v>Servicios</x:v>
      </x:c>
      <x:c r="E8" s="17" t="str">
        <x:v>Servicio tecnico</x:v>
      </x:c>
      <x:c r="F8" s="17" t="str">
        <x:v>Laura Perez</x:v>
      </x:c>
      <x:c r="G8" s="17" t="str">
        <x:v>Efectivo</x:v>
      </x:c>
      <x:c r="H8" s="17" t="str">
        <x:v>REC-002</x:v>
      </x:c>
      <x:c r="I8" s="18" t="n">
        <x:v>360000</x:v>
      </x:c>
      <x:c r="J8" s="18" t="n">
        <x:v>0</x:v>
      </x:c>
      <x:c r="K8" s="18" t="n">
        <x:f>IF(AND(I8="",J8=""),"",SUM($I$6:I8)-SUM($J$6:J8))</x:f>
        <x:v>1190000</x:v>
      </x:c>
      <x:c r="L8" s="17" t="str">
        <x:f>IF(A8="","",TEXT(A8,"yyyy-mm"))</x:f>
        <x:v>2026-06</x:v>
      </x:c>
      <x:c r="M8" s="17" t="str">
        <x:f>IF(A8="","","MOV-"&amp;TEXT(ROW()-5,"0000"))</x:f>
        <x:v>MOV-0003</x:v>
      </x:c>
    </x:row>
    <x:row r="9">
      <x:c r="A9" s="63" t="n">
        <x:v>46177</x:v>
      </x:c>
      <x:c r="B9" s="17" t="str">
        <x:v>Gasto</x:v>
      </x:c>
      <x:c r="C9" s="17" t="str">
        <x:v>Nequi</x:v>
      </x:c>
      <x:c r="D9" s="17" t="str">
        <x:v>Transporte</x:v>
      </x:c>
      <x:c r="E9" s="17" t="str">
        <x:v>Domicilios</x:v>
      </x:c>
      <x:c r="F9" s="17" t="str">
        <x:v>Mensajeria rapida</x:v>
      </x:c>
      <x:c r="G9" s="17" t="str">
        <x:v>Nequi</x:v>
      </x:c>
      <x:c r="H9" s="17" t="str">
        <x:v>GAS-001</x:v>
      </x:c>
      <x:c r="I9" s="18" t="n">
        <x:v>0</x:v>
      </x:c>
      <x:c r="J9" s="18" t="n">
        <x:v>65000</x:v>
      </x:c>
      <x:c r="K9" s="18" t="n">
        <x:f>IF(AND(I9="",J9=""),"",SUM($I$6:I9)-SUM($J$6:J9))</x:f>
        <x:v>1125000</x:v>
      </x:c>
      <x:c r="L9" s="17" t="str">
        <x:f>IF(A9="","",TEXT(A9,"yyyy-mm"))</x:f>
        <x:v>2026-06</x:v>
      </x:c>
      <x:c r="M9" s="17" t="str">
        <x:f>IF(A9="","","MOV-"&amp;TEXT(ROW()-5,"0000"))</x:f>
        <x:v>MOV-0004</x:v>
      </x:c>
    </x:row>
    <x:row r="10">
      <x:c r="A10" s="63" t="n">
        <x:v>46178</x:v>
      </x:c>
      <x:c r="B10" s="17" t="str">
        <x:v>Gasto</x:v>
      </x:c>
      <x:c r="C10" s="17" t="str">
        <x:v>Banco</x:v>
      </x:c>
      <x:c r="D10" s="17" t="str">
        <x:v>Servicios publicos</x:v>
      </x:c>
      <x:c r="E10" s="17" t="str">
        <x:v>Internet del negocio</x:v>
      </x:c>
      <x:c r="F10" s="17" t="str">
        <x:v>Operador local</x:v>
      </x:c>
      <x:c r="G10" s="17" t="str">
        <x:v>Transferencia</x:v>
      </x:c>
      <x:c r="H10" s="17" t="str">
        <x:v>GAS-002</x:v>
      </x:c>
      <x:c r="I10" s="18" t="n">
        <x:v>0</x:v>
      </x:c>
      <x:c r="J10" s="18" t="n">
        <x:v>98000</x:v>
      </x:c>
      <x:c r="K10" s="18" t="n">
        <x:f>IF(AND(I10="",J10=""),"",SUM($I$6:I10)-SUM($J$6:J10))</x:f>
        <x:v>1027000</x:v>
      </x:c>
      <x:c r="L10" s="17" t="str">
        <x:f>IF(A10="","",TEXT(A10,"yyyy-mm"))</x:f>
        <x:v>2026-06</x:v>
      </x:c>
      <x:c r="M10" s="17" t="str">
        <x:f>IF(A10="","","MOV-"&amp;TEXT(ROW()-5,"0000"))</x:f>
        <x:v>MOV-0005</x:v>
      </x:c>
    </x:row>
    <x:row r="11">
      <x:c r="A11" s="63" t="n">
        <x:v>46179</x:v>
      </x:c>
      <x:c r="B11" s="17" t="str">
        <x:v>Ingreso</x:v>
      </x:c>
      <x:c r="C11" s="17" t="str">
        <x:v>Daviplata</x:v>
      </x:c>
      <x:c r="D11" s="17" t="str">
        <x:v>Ventas</x:v>
      </x:c>
      <x:c r="E11" s="17" t="str">
        <x:v>Venta por redes</x:v>
      </x:c>
      <x:c r="F11" s="17" t="str">
        <x:v>Carlos Ruiz</x:v>
      </x:c>
      <x:c r="G11" s="17" t="str">
        <x:v>Daviplata</x:v>
      </x:c>
      <x:c r="H11" s="17" t="str">
        <x:v>REC-003</x:v>
      </x:c>
      <x:c r="I11" s="18" t="n">
        <x:v>540000</x:v>
      </x:c>
      <x:c r="J11" s="18" t="n">
        <x:v>0</x:v>
      </x:c>
      <x:c r="K11" s="18" t="n">
        <x:f>IF(AND(I11="",J11=""),"",SUM($I$6:I11)-SUM($J$6:J11))</x:f>
        <x:v>1567000</x:v>
      </x:c>
      <x:c r="L11" s="17" t="str">
        <x:f>IF(A11="","",TEXT(A11,"yyyy-mm"))</x:f>
        <x:v>2026-06</x:v>
      </x:c>
      <x:c r="M11" s="17" t="str">
        <x:f>IF(A11="","","MOV-"&amp;TEXT(ROW()-5,"0000"))</x:f>
        <x:v>MOV-0006</x:v>
      </x:c>
    </x:row>
    <x:row r="12">
      <x:c r="A12" s="63" t="n">
        <x:v>46180</x:v>
      </x:c>
      <x:c r="B12" s="17" t="str">
        <x:v>Gasto</x:v>
      </x:c>
      <x:c r="C12" s="17" t="str">
        <x:v>Banco</x:v>
      </x:c>
      <x:c r="D12" s="17" t="str">
        <x:v>Marketing</x:v>
      </x:c>
      <x:c r="E12" s="17" t="str">
        <x:v>Pauta digital</x:v>
      </x:c>
      <x:c r="F12" s="17" t="str">
        <x:v>Meta Ads</x:v>
      </x:c>
      <x:c r="G12" s="17" t="str">
        <x:v>Tarjeta</x:v>
      </x:c>
      <x:c r="H12" s="17" t="str">
        <x:v>GAS-003</x:v>
      </x:c>
      <x:c r="I12" s="18" t="n">
        <x:v>0</x:v>
      </x:c>
      <x:c r="J12" s="18" t="n">
        <x:v>120000</x:v>
      </x:c>
      <x:c r="K12" s="18" t="n">
        <x:f>IF(AND(I12="",J12=""),"",SUM($I$6:I12)-SUM($J$6:J12))</x:f>
        <x:v>1447000</x:v>
      </x:c>
      <x:c r="L12" s="17" t="str">
        <x:f>IF(A12="","",TEXT(A12,"yyyy-mm"))</x:f>
        <x:v>2026-06</x:v>
      </x:c>
      <x:c r="M12" s="17" t="str">
        <x:f>IF(A12="","","MOV-"&amp;TEXT(ROW()-5,"0000"))</x:f>
        <x:v>MOV-0007</x:v>
      </x:c>
    </x:row>
    <x:row r="13">
      <x:c r="A13" s="63" t="n">
        <x:v>46181</x:v>
      </x:c>
      <x:c r="B13" s="17" t="str">
        <x:v>Ingreso</x:v>
      </x:c>
      <x:c r="C13" s="17" t="str">
        <x:v>Banco</x:v>
      </x:c>
      <x:c r="D13" s="17" t="str">
        <x:v>Otros ingresos</x:v>
      </x:c>
      <x:c r="E13" s="17" t="str">
        <x:v>Abono extraordinario</x:v>
      </x:c>
      <x:c r="F13" s="17" t="str">
        <x:v>Cliente general</x:v>
      </x:c>
      <x:c r="G13" s="17" t="str">
        <x:v>Transferencia</x:v>
      </x:c>
      <x:c r="H13" s="17" t="str">
        <x:v>REC-004</x:v>
      </x:c>
      <x:c r="I13" s="18" t="n">
        <x:v>180000</x:v>
      </x:c>
      <x:c r="J13" s="18" t="n">
        <x:v>0</x:v>
      </x:c>
      <x:c r="K13" s="18" t="n">
        <x:f>IF(AND(I13="",J13=""),"",SUM($I$6:I13)-SUM($J$6:J13))</x:f>
        <x:v>1627000</x:v>
      </x:c>
      <x:c r="L13" s="17" t="str">
        <x:f>IF(A13="","",TEXT(A13,"yyyy-mm"))</x:f>
        <x:v>2026-06</x:v>
      </x:c>
      <x:c r="M13" s="17" t="str">
        <x:f>IF(A13="","","MOV-"&amp;TEXT(ROW()-5,"0000"))</x:f>
        <x:v>MOV-0008</x:v>
      </x:c>
    </x:row>
    <x:row r="14">
      <x:c r="A14" s="63"/>
      <x:c r="B14" s="17" t="str"/>
      <x:c r="C14" s="17" t="str"/>
      <x:c r="D14" s="17" t="str"/>
      <x:c r="E14" s="17" t="str"/>
      <x:c r="F14" s="17" t="str"/>
      <x:c r="G14" s="17" t="str"/>
      <x:c r="H14" s="17" t="str"/>
      <x:c r="I14" s="18"/>
      <x:c r="J14" s="18"/>
      <x:c r="K14" s="18" t="str">
        <x:f>IF(AND(I14="",J14=""),"",SUM($I$6:I14)-SUM($J$6:J14))</x:f>
      </x:c>
      <x:c r="L14" s="17" t="str">
        <x:f>IF(A14="","",TEXT(A14,"yyyy-mm"))</x:f>
      </x:c>
      <x:c r="M14" s="17" t="str">
        <x:f>IF(A14="","","MOV-"&amp;TEXT(ROW()-5,"0000"))</x:f>
      </x:c>
    </x:row>
    <x:row r="15">
      <x:c r="A15" s="63"/>
      <x:c r="B15" s="17" t="str"/>
      <x:c r="C15" s="17" t="str"/>
      <x:c r="D15" s="17" t="str"/>
      <x:c r="E15" s="17" t="str"/>
      <x:c r="F15" s="17" t="str"/>
      <x:c r="G15" s="17" t="str"/>
      <x:c r="H15" s="17" t="str"/>
      <x:c r="I15" s="18"/>
      <x:c r="J15" s="18"/>
      <x:c r="K15" s="18" t="str">
        <x:f>IF(AND(I15="",J15=""),"",SUM($I$6:I15)-SUM($J$6:J15))</x:f>
      </x:c>
      <x:c r="L15" s="17" t="str">
        <x:f>IF(A15="","",TEXT(A15,"yyyy-mm"))</x:f>
      </x:c>
      <x:c r="M15" s="17" t="str">
        <x:f>IF(A15="","","MOV-"&amp;TEXT(ROW()-5,"0000"))</x:f>
      </x:c>
    </x:row>
    <x:row r="16">
      <x:c r="A16" s="63"/>
      <x:c r="B16" s="17" t="str"/>
      <x:c r="C16" s="17" t="str"/>
      <x:c r="D16" s="17" t="str"/>
      <x:c r="E16" s="17" t="str"/>
      <x:c r="F16" s="17" t="str"/>
      <x:c r="G16" s="17" t="str"/>
      <x:c r="H16" s="17" t="str"/>
      <x:c r="I16" s="18"/>
      <x:c r="J16" s="18"/>
      <x:c r="K16" s="18" t="str">
        <x:f>IF(AND(I16="",J16=""),"",SUM($I$6:I16)-SUM($J$6:J16))</x:f>
      </x:c>
      <x:c r="L16" s="17" t="str">
        <x:f>IF(A16="","",TEXT(A16,"yyyy-mm"))</x:f>
      </x:c>
      <x:c r="M16" s="17" t="str">
        <x:f>IF(A16="","","MOV-"&amp;TEXT(ROW()-5,"0000"))</x:f>
      </x:c>
    </x:row>
    <x:row r="17">
      <x:c r="A17" s="63"/>
      <x:c r="B17" s="17" t="str"/>
      <x:c r="C17" s="17" t="str"/>
      <x:c r="D17" s="17" t="str"/>
      <x:c r="E17" s="17" t="str"/>
      <x:c r="F17" s="17" t="str"/>
      <x:c r="G17" s="17" t="str"/>
      <x:c r="H17" s="17" t="str"/>
      <x:c r="I17" s="18"/>
      <x:c r="J17" s="18"/>
      <x:c r="K17" s="18" t="str">
        <x:f>IF(AND(I17="",J17=""),"",SUM($I$6:I17)-SUM($J$6:J17))</x:f>
      </x:c>
      <x:c r="L17" s="17" t="str">
        <x:f>IF(A17="","",TEXT(A17,"yyyy-mm"))</x:f>
      </x:c>
      <x:c r="M17" s="17" t="str">
        <x:f>IF(A17="","","MOV-"&amp;TEXT(ROW()-5,"0000"))</x:f>
      </x:c>
    </x:row>
    <x:row r="18">
      <x:c r="A18" s="63"/>
      <x:c r="B18" s="17" t="str"/>
      <x:c r="C18" s="17" t="str"/>
      <x:c r="D18" s="17" t="str"/>
      <x:c r="E18" s="17" t="str"/>
      <x:c r="F18" s="17" t="str"/>
      <x:c r="G18" s="17" t="str"/>
      <x:c r="H18" s="17" t="str"/>
      <x:c r="I18" s="18"/>
      <x:c r="J18" s="18"/>
      <x:c r="K18" s="18" t="str">
        <x:f>IF(AND(I18="",J18=""),"",SUM($I$6:I18)-SUM($J$6:J18))</x:f>
      </x:c>
      <x:c r="L18" s="17" t="str">
        <x:f>IF(A18="","",TEXT(A18,"yyyy-mm"))</x:f>
      </x:c>
      <x:c r="M18" s="17" t="str">
        <x:f>IF(A18="","","MOV-"&amp;TEXT(ROW()-5,"0000"))</x:f>
      </x:c>
    </x:row>
    <x:row r="19">
      <x:c r="A19" s="63"/>
      <x:c r="B19" s="17" t="str"/>
      <x:c r="C19" s="17" t="str"/>
      <x:c r="D19" s="17" t="str"/>
      <x:c r="E19" s="17" t="str"/>
      <x:c r="F19" s="17" t="str"/>
      <x:c r="G19" s="17" t="str"/>
      <x:c r="H19" s="17" t="str"/>
      <x:c r="I19" s="18"/>
      <x:c r="J19" s="18"/>
      <x:c r="K19" s="18" t="str">
        <x:f>IF(AND(I19="",J19=""),"",SUM($I$6:I19)-SUM($J$6:J19))</x:f>
      </x:c>
      <x:c r="L19" s="17" t="str">
        <x:f>IF(A19="","",TEXT(A19,"yyyy-mm"))</x:f>
      </x:c>
      <x:c r="M19" s="17" t="str">
        <x:f>IF(A19="","","MOV-"&amp;TEXT(ROW()-5,"0000"))</x:f>
      </x:c>
    </x:row>
    <x:row r="20">
      <x:c r="A20" s="63"/>
      <x:c r="B20" s="17" t="str"/>
      <x:c r="C20" s="17" t="str"/>
      <x:c r="D20" s="17" t="str"/>
      <x:c r="E20" s="17" t="str"/>
      <x:c r="F20" s="17" t="str"/>
      <x:c r="G20" s="17" t="str"/>
      <x:c r="H20" s="17" t="str"/>
      <x:c r="I20" s="18"/>
      <x:c r="J20" s="18"/>
      <x:c r="K20" s="18" t="str">
        <x:f>IF(AND(I20="",J20=""),"",SUM($I$6:I20)-SUM($J$6:J20))</x:f>
      </x:c>
      <x:c r="L20" s="17" t="str">
        <x:f>IF(A20="","",TEXT(A20,"yyyy-mm"))</x:f>
      </x:c>
      <x:c r="M20" s="17" t="str">
        <x:f>IF(A20="","","MOV-"&amp;TEXT(ROW()-5,"0000"))</x:f>
      </x:c>
    </x:row>
    <x:row r="21">
      <x:c r="A21" s="63"/>
      <x:c r="B21" s="17" t="str"/>
      <x:c r="C21" s="17" t="str"/>
      <x:c r="D21" s="17" t="str"/>
      <x:c r="E21" s="17" t="str"/>
      <x:c r="F21" s="17" t="str"/>
      <x:c r="G21" s="17" t="str"/>
      <x:c r="H21" s="17" t="str"/>
      <x:c r="I21" s="18"/>
      <x:c r="J21" s="18"/>
      <x:c r="K21" s="18" t="str">
        <x:f>IF(AND(I21="",J21=""),"",SUM($I$6:I21)-SUM($J$6:J21))</x:f>
      </x:c>
      <x:c r="L21" s="17" t="str">
        <x:f>IF(A21="","",TEXT(A21,"yyyy-mm"))</x:f>
      </x:c>
      <x:c r="M21" s="17" t="str">
        <x:f>IF(A21="","","MOV-"&amp;TEXT(ROW()-5,"0000"))</x:f>
      </x:c>
    </x:row>
    <x:row r="22">
      <x:c r="A22" s="63"/>
      <x:c r="B22" s="17" t="str"/>
      <x:c r="C22" s="17" t="str"/>
      <x:c r="D22" s="17" t="str"/>
      <x:c r="E22" s="17" t="str"/>
      <x:c r="F22" s="17" t="str"/>
      <x:c r="G22" s="17" t="str"/>
      <x:c r="H22" s="17" t="str"/>
      <x:c r="I22" s="18"/>
      <x:c r="J22" s="18"/>
      <x:c r="K22" s="18" t="str">
        <x:f>IF(AND(I22="",J22=""),"",SUM($I$6:I22)-SUM($J$6:J22))</x:f>
      </x:c>
      <x:c r="L22" s="17" t="str">
        <x:f>IF(A22="","",TEXT(A22,"yyyy-mm"))</x:f>
      </x:c>
      <x:c r="M22" s="17" t="str">
        <x:f>IF(A22="","","MOV-"&amp;TEXT(ROW()-5,"0000"))</x:f>
      </x:c>
    </x:row>
    <x:row r="23">
      <x:c r="A23" s="63"/>
      <x:c r="B23" s="17" t="str"/>
      <x:c r="C23" s="17" t="str"/>
      <x:c r="D23" s="17" t="str"/>
      <x:c r="E23" s="17" t="str"/>
      <x:c r="F23" s="17" t="str"/>
      <x:c r="G23" s="17" t="str"/>
      <x:c r="H23" s="17" t="str"/>
      <x:c r="I23" s="18"/>
      <x:c r="J23" s="18"/>
      <x:c r="K23" s="18" t="str">
        <x:f>IF(AND(I23="",J23=""),"",SUM($I$6:I23)-SUM($J$6:J23))</x:f>
      </x:c>
      <x:c r="L23" s="17" t="str">
        <x:f>IF(A23="","",TEXT(A23,"yyyy-mm"))</x:f>
      </x:c>
      <x:c r="M23" s="17" t="str">
        <x:f>IF(A23="","","MOV-"&amp;TEXT(ROW()-5,"0000"))</x:f>
      </x:c>
    </x:row>
    <x:row r="24">
      <x:c r="A24" s="63"/>
      <x:c r="B24" s="17" t="str"/>
      <x:c r="C24" s="17" t="str"/>
      <x:c r="D24" s="17" t="str"/>
      <x:c r="E24" s="17" t="str"/>
      <x:c r="F24" s="17" t="str"/>
      <x:c r="G24" s="17" t="str"/>
      <x:c r="H24" s="17" t="str"/>
      <x:c r="I24" s="18"/>
      <x:c r="J24" s="18"/>
      <x:c r="K24" s="18" t="str">
        <x:f>IF(AND(I24="",J24=""),"",SUM($I$6:I24)-SUM($J$6:J24))</x:f>
      </x:c>
      <x:c r="L24" s="17" t="str">
        <x:f>IF(A24="","",TEXT(A24,"yyyy-mm"))</x:f>
      </x:c>
      <x:c r="M24" s="17" t="str">
        <x:f>IF(A24="","","MOV-"&amp;TEXT(ROW()-5,"0000"))</x:f>
      </x:c>
    </x:row>
    <x:row r="25">
      <x:c r="A25" s="63"/>
      <x:c r="B25" s="17" t="str"/>
      <x:c r="C25" s="17" t="str"/>
      <x:c r="D25" s="17" t="str"/>
      <x:c r="E25" s="17" t="str"/>
      <x:c r="F25" s="17" t="str"/>
      <x:c r="G25" s="17" t="str"/>
      <x:c r="H25" s="17" t="str"/>
      <x:c r="I25" s="18"/>
      <x:c r="J25" s="18"/>
      <x:c r="K25" s="18" t="str">
        <x:f>IF(AND(I25="",J25=""),"",SUM($I$6:I25)-SUM($J$6:J25))</x:f>
      </x:c>
      <x:c r="L25" s="17" t="str">
        <x:f>IF(A25="","",TEXT(A25,"yyyy-mm"))</x:f>
      </x:c>
      <x:c r="M25" s="17" t="str">
        <x:f>IF(A25="","","MOV-"&amp;TEXT(ROW()-5,"0000"))</x:f>
      </x:c>
    </x:row>
    <x:row r="26">
      <x:c r="A26" s="63"/>
      <x:c r="B26" s="17" t="str"/>
      <x:c r="C26" s="17" t="str"/>
      <x:c r="D26" s="17" t="str"/>
      <x:c r="E26" s="17" t="str"/>
      <x:c r="F26" s="17" t="str"/>
      <x:c r="G26" s="17" t="str"/>
      <x:c r="H26" s="17" t="str"/>
      <x:c r="I26" s="18"/>
      <x:c r="J26" s="18"/>
      <x:c r="K26" s="18" t="str">
        <x:f>IF(AND(I26="",J26=""),"",SUM($I$6:I26)-SUM($J$6:J26))</x:f>
      </x:c>
      <x:c r="L26" s="17" t="str">
        <x:f>IF(A26="","",TEXT(A26,"yyyy-mm"))</x:f>
      </x:c>
      <x:c r="M26" s="17" t="str">
        <x:f>IF(A26="","","MOV-"&amp;TEXT(ROW()-5,"0000"))</x:f>
      </x:c>
    </x:row>
    <x:row r="27">
      <x:c r="A27" s="63"/>
      <x:c r="B27" s="17" t="str"/>
      <x:c r="C27" s="17" t="str"/>
      <x:c r="D27" s="17" t="str"/>
      <x:c r="E27" s="17" t="str"/>
      <x:c r="F27" s="17" t="str"/>
      <x:c r="G27" s="17" t="str"/>
      <x:c r="H27" s="17" t="str"/>
      <x:c r="I27" s="18"/>
      <x:c r="J27" s="18"/>
      <x:c r="K27" s="18" t="str">
        <x:f>IF(AND(I27="",J27=""),"",SUM($I$6:I27)-SUM($J$6:J27))</x:f>
      </x:c>
      <x:c r="L27" s="17" t="str">
        <x:f>IF(A27="","",TEXT(A27,"yyyy-mm"))</x:f>
      </x:c>
      <x:c r="M27" s="17" t="str">
        <x:f>IF(A27="","","MOV-"&amp;TEXT(ROW()-5,"0000"))</x:f>
      </x:c>
    </x:row>
    <x:row r="28">
      <x:c r="A28" s="63"/>
      <x:c r="B28" s="17" t="str"/>
      <x:c r="C28" s="17" t="str"/>
      <x:c r="D28" s="17" t="str"/>
      <x:c r="E28" s="17" t="str"/>
      <x:c r="F28" s="17" t="str"/>
      <x:c r="G28" s="17" t="str"/>
      <x:c r="H28" s="17" t="str"/>
      <x:c r="I28" s="18"/>
      <x:c r="J28" s="18"/>
      <x:c r="K28" s="18" t="str">
        <x:f>IF(AND(I28="",J28=""),"",SUM($I$6:I28)-SUM($J$6:J28))</x:f>
      </x:c>
      <x:c r="L28" s="17" t="str">
        <x:f>IF(A28="","",TEXT(A28,"yyyy-mm"))</x:f>
      </x:c>
      <x:c r="M28" s="17" t="str">
        <x:f>IF(A28="","","MOV-"&amp;TEXT(ROW()-5,"0000"))</x:f>
      </x:c>
    </x:row>
    <x:row r="29">
      <x:c r="A29" s="63"/>
      <x:c r="B29" s="17" t="str"/>
      <x:c r="C29" s="17" t="str"/>
      <x:c r="D29" s="17" t="str"/>
      <x:c r="E29" s="17" t="str"/>
      <x:c r="F29" s="17" t="str"/>
      <x:c r="G29" s="17" t="str"/>
      <x:c r="H29" s="17" t="str"/>
      <x:c r="I29" s="18"/>
      <x:c r="J29" s="18"/>
      <x:c r="K29" s="18" t="str">
        <x:f>IF(AND(I29="",J29=""),"",SUM($I$6:I29)-SUM($J$6:J29))</x:f>
      </x:c>
      <x:c r="L29" s="17" t="str">
        <x:f>IF(A29="","",TEXT(A29,"yyyy-mm"))</x:f>
      </x:c>
      <x:c r="M29" s="17" t="str">
        <x:f>IF(A29="","","MOV-"&amp;TEXT(ROW()-5,"0000"))</x:f>
      </x:c>
    </x:row>
    <x:row r="30">
      <x:c r="A30" s="63"/>
      <x:c r="B30" s="17" t="str"/>
      <x:c r="C30" s="17" t="str"/>
      <x:c r="D30" s="17" t="str"/>
      <x:c r="E30" s="17" t="str"/>
      <x:c r="F30" s="17" t="str"/>
      <x:c r="G30" s="17" t="str"/>
      <x:c r="H30" s="17" t="str"/>
      <x:c r="I30" s="18"/>
      <x:c r="J30" s="18"/>
      <x:c r="K30" s="18" t="str">
        <x:f>IF(AND(I30="",J30=""),"",SUM($I$6:I30)-SUM($J$6:J30))</x:f>
      </x:c>
      <x:c r="L30" s="17" t="str">
        <x:f>IF(A30="","",TEXT(A30,"yyyy-mm"))</x:f>
      </x:c>
      <x:c r="M30" s="17" t="str">
        <x:f>IF(A30="","","MOV-"&amp;TEXT(ROW()-5,"0000"))</x:f>
      </x:c>
    </x:row>
    <x:row r="31">
      <x:c r="A31" s="63"/>
      <x:c r="B31" s="17" t="str"/>
      <x:c r="C31" s="17" t="str"/>
      <x:c r="D31" s="17" t="str"/>
      <x:c r="E31" s="17" t="str"/>
      <x:c r="F31" s="17" t="str"/>
      <x:c r="G31" s="17" t="str"/>
      <x:c r="H31" s="17" t="str"/>
      <x:c r="I31" s="18"/>
      <x:c r="J31" s="18"/>
      <x:c r="K31" s="18" t="str">
        <x:f>IF(AND(I31="",J31=""),"",SUM($I$6:I31)-SUM($J$6:J31))</x:f>
      </x:c>
      <x:c r="L31" s="17" t="str">
        <x:f>IF(A31="","",TEXT(A31,"yyyy-mm"))</x:f>
      </x:c>
      <x:c r="M31" s="17" t="str">
        <x:f>IF(A31="","","MOV-"&amp;TEXT(ROW()-5,"0000"))</x:f>
      </x:c>
    </x:row>
    <x:row r="32">
      <x:c r="A32" s="63"/>
      <x:c r="B32" s="17" t="str"/>
      <x:c r="C32" s="17" t="str"/>
      <x:c r="D32" s="17" t="str"/>
      <x:c r="E32" s="17" t="str"/>
      <x:c r="F32" s="17" t="str"/>
      <x:c r="G32" s="17" t="str"/>
      <x:c r="H32" s="17" t="str"/>
      <x:c r="I32" s="18"/>
      <x:c r="J32" s="18"/>
      <x:c r="K32" s="18" t="str">
        <x:f>IF(AND(I32="",J32=""),"",SUM($I$6:I32)-SUM($J$6:J32))</x:f>
      </x:c>
      <x:c r="L32" s="17" t="str">
        <x:f>IF(A32="","",TEXT(A32,"yyyy-mm"))</x:f>
      </x:c>
      <x:c r="M32" s="17" t="str">
        <x:f>IF(A32="","","MOV-"&amp;TEXT(ROW()-5,"0000"))</x:f>
      </x:c>
    </x:row>
    <x:row r="33">
      <x:c r="A33" s="63"/>
      <x:c r="B33" s="17" t="str"/>
      <x:c r="C33" s="17" t="str"/>
      <x:c r="D33" s="17" t="str"/>
      <x:c r="E33" s="17" t="str"/>
      <x:c r="F33" s="17" t="str"/>
      <x:c r="G33" s="17" t="str"/>
      <x:c r="H33" s="17" t="str"/>
      <x:c r="I33" s="18"/>
      <x:c r="J33" s="18"/>
      <x:c r="K33" s="18" t="str">
        <x:f>IF(AND(I33="",J33=""),"",SUM($I$6:I33)-SUM($J$6:J33))</x:f>
      </x:c>
      <x:c r="L33" s="17" t="str">
        <x:f>IF(A33="","",TEXT(A33,"yyyy-mm"))</x:f>
      </x:c>
      <x:c r="M33" s="17" t="str">
        <x:f>IF(A33="","","MOV-"&amp;TEXT(ROW()-5,"0000"))</x:f>
      </x:c>
    </x:row>
    <x:row r="34">
      <x:c r="A34" s="63"/>
      <x:c r="B34" s="17" t="str"/>
      <x:c r="C34" s="17" t="str"/>
      <x:c r="D34" s="17" t="str"/>
      <x:c r="E34" s="17" t="str"/>
      <x:c r="F34" s="17" t="str"/>
      <x:c r="G34" s="17" t="str"/>
      <x:c r="H34" s="17" t="str"/>
      <x:c r="I34" s="18"/>
      <x:c r="J34" s="18"/>
      <x:c r="K34" s="18" t="str">
        <x:f>IF(AND(I34="",J34=""),"",SUM($I$6:I34)-SUM($J$6:J34))</x:f>
      </x:c>
      <x:c r="L34" s="17" t="str">
        <x:f>IF(A34="","",TEXT(A34,"yyyy-mm"))</x:f>
      </x:c>
      <x:c r="M34" s="17" t="str">
        <x:f>IF(A34="","","MOV-"&amp;TEXT(ROW()-5,"0000"))</x:f>
      </x:c>
    </x:row>
    <x:row r="35">
      <x:c r="A35" s="63"/>
      <x:c r="B35" s="17" t="str"/>
      <x:c r="C35" s="17" t="str"/>
      <x:c r="D35" s="17" t="str"/>
      <x:c r="E35" s="17" t="str"/>
      <x:c r="F35" s="17" t="str"/>
      <x:c r="G35" s="17" t="str"/>
      <x:c r="H35" s="17" t="str"/>
      <x:c r="I35" s="18"/>
      <x:c r="J35" s="18"/>
      <x:c r="K35" s="18" t="str">
        <x:f>IF(AND(I35="",J35=""),"",SUM($I$6:I35)-SUM($J$6:J35))</x:f>
      </x:c>
      <x:c r="L35" s="17" t="str">
        <x:f>IF(A35="","",TEXT(A35,"yyyy-mm"))</x:f>
      </x:c>
      <x:c r="M35" s="17" t="str">
        <x:f>IF(A35="","","MOV-"&amp;TEXT(ROW()-5,"0000"))</x:f>
      </x:c>
    </x:row>
    <x:row r="36">
      <x:c r="A36" s="63"/>
      <x:c r="B36" s="17" t="str"/>
      <x:c r="C36" s="17" t="str"/>
      <x:c r="D36" s="17" t="str"/>
      <x:c r="E36" s="17" t="str"/>
      <x:c r="F36" s="17" t="str"/>
      <x:c r="G36" s="17" t="str"/>
      <x:c r="H36" s="17" t="str"/>
      <x:c r="I36" s="18"/>
      <x:c r="J36" s="18"/>
      <x:c r="K36" s="18" t="str">
        <x:f>IF(AND(I36="",J36=""),"",SUM($I$6:I36)-SUM($J$6:J36))</x:f>
      </x:c>
      <x:c r="L36" s="17" t="str">
        <x:f>IF(A36="","",TEXT(A36,"yyyy-mm"))</x:f>
      </x:c>
      <x:c r="M36" s="17" t="str">
        <x:f>IF(A36="","","MOV-"&amp;TEXT(ROW()-5,"0000"))</x:f>
      </x:c>
    </x:row>
    <x:row r="37">
      <x:c r="A37" s="63"/>
      <x:c r="B37" s="17" t="str"/>
      <x:c r="C37" s="17" t="str"/>
      <x:c r="D37" s="17" t="str"/>
      <x:c r="E37" s="17" t="str"/>
      <x:c r="F37" s="17" t="str"/>
      <x:c r="G37" s="17" t="str"/>
      <x:c r="H37" s="17" t="str"/>
      <x:c r="I37" s="18"/>
      <x:c r="J37" s="18"/>
      <x:c r="K37" s="18" t="str">
        <x:f>IF(AND(I37="",J37=""),"",SUM($I$6:I37)-SUM($J$6:J37))</x:f>
      </x:c>
      <x:c r="L37" s="17" t="str">
        <x:f>IF(A37="","",TEXT(A37,"yyyy-mm"))</x:f>
      </x:c>
      <x:c r="M37" s="17" t="str">
        <x:f>IF(A37="","","MOV-"&amp;TEXT(ROW()-5,"0000"))</x:f>
      </x:c>
    </x:row>
    <x:row r="38">
      <x:c r="A38" s="63"/>
      <x:c r="B38" s="17" t="str"/>
      <x:c r="C38" s="17" t="str"/>
      <x:c r="D38" s="17" t="str"/>
      <x:c r="E38" s="17" t="str"/>
      <x:c r="F38" s="17" t="str"/>
      <x:c r="G38" s="17" t="str"/>
      <x:c r="H38" s="17" t="str"/>
      <x:c r="I38" s="18"/>
      <x:c r="J38" s="18"/>
      <x:c r="K38" s="18" t="str">
        <x:f>IF(AND(I38="",J38=""),"",SUM($I$6:I38)-SUM($J$6:J38))</x:f>
      </x:c>
      <x:c r="L38" s="17" t="str">
        <x:f>IF(A38="","",TEXT(A38,"yyyy-mm"))</x:f>
      </x:c>
      <x:c r="M38" s="17" t="str">
        <x:f>IF(A38="","","MOV-"&amp;TEXT(ROW()-5,"0000"))</x:f>
      </x:c>
    </x:row>
    <x:row r="39">
      <x:c r="A39" s="63"/>
      <x:c r="B39" s="17" t="str"/>
      <x:c r="C39" s="17" t="str"/>
      <x:c r="D39" s="17" t="str"/>
      <x:c r="E39" s="17" t="str"/>
      <x:c r="F39" s="17" t="str"/>
      <x:c r="G39" s="17" t="str"/>
      <x:c r="H39" s="17" t="str"/>
      <x:c r="I39" s="18"/>
      <x:c r="J39" s="18"/>
      <x:c r="K39" s="18" t="str">
        <x:f>IF(AND(I39="",J39=""),"",SUM($I$6:I39)-SUM($J$6:J39))</x:f>
      </x:c>
      <x:c r="L39" s="17" t="str">
        <x:f>IF(A39="","",TEXT(A39,"yyyy-mm"))</x:f>
      </x:c>
      <x:c r="M39" s="17" t="str">
        <x:f>IF(A39="","","MOV-"&amp;TEXT(ROW()-5,"0000"))</x:f>
      </x:c>
    </x:row>
    <x:row r="40">
      <x:c r="A40" s="63"/>
      <x:c r="B40" s="17" t="str"/>
      <x:c r="C40" s="17" t="str"/>
      <x:c r="D40" s="17" t="str"/>
      <x:c r="E40" s="17" t="str"/>
      <x:c r="F40" s="17" t="str"/>
      <x:c r="G40" s="17" t="str"/>
      <x:c r="H40" s="17" t="str"/>
      <x:c r="I40" s="18"/>
      <x:c r="J40" s="18"/>
      <x:c r="K40" s="18" t="str">
        <x:f>IF(AND(I40="",J40=""),"",SUM($I$6:I40)-SUM($J$6:J40))</x:f>
      </x:c>
      <x:c r="L40" s="17" t="str">
        <x:f>IF(A40="","",TEXT(A40,"yyyy-mm"))</x:f>
      </x:c>
      <x:c r="M40" s="17" t="str">
        <x:f>IF(A40="","","MOV-"&amp;TEXT(ROW()-5,"0000"))</x:f>
      </x:c>
    </x:row>
    <x:row r="41">
      <x:c r="A41" s="63"/>
      <x:c r="B41" s="17" t="str"/>
      <x:c r="C41" s="17" t="str"/>
      <x:c r="D41" s="17" t="str"/>
      <x:c r="E41" s="17" t="str"/>
      <x:c r="F41" s="17" t="str"/>
      <x:c r="G41" s="17" t="str"/>
      <x:c r="H41" s="17" t="str"/>
      <x:c r="I41" s="18"/>
      <x:c r="J41" s="18"/>
      <x:c r="K41" s="18" t="str">
        <x:f>IF(AND(I41="",J41=""),"",SUM($I$6:I41)-SUM($J$6:J41))</x:f>
      </x:c>
      <x:c r="L41" s="17" t="str">
        <x:f>IF(A41="","",TEXT(A41,"yyyy-mm"))</x:f>
      </x:c>
      <x:c r="M41" s="17" t="str">
        <x:f>IF(A41="","","MOV-"&amp;TEXT(ROW()-5,"0000"))</x:f>
      </x:c>
    </x:row>
    <x:row r="42">
      <x:c r="A42" s="63"/>
      <x:c r="B42" s="17" t="str"/>
      <x:c r="C42" s="17" t="str"/>
      <x:c r="D42" s="17" t="str"/>
      <x:c r="E42" s="17" t="str"/>
      <x:c r="F42" s="17" t="str"/>
      <x:c r="G42" s="17" t="str"/>
      <x:c r="H42" s="17" t="str"/>
      <x:c r="I42" s="18"/>
      <x:c r="J42" s="18"/>
      <x:c r="K42" s="18" t="str">
        <x:f>IF(AND(I42="",J42=""),"",SUM($I$6:I42)-SUM($J$6:J42))</x:f>
      </x:c>
      <x:c r="L42" s="17" t="str">
        <x:f>IF(A42="","",TEXT(A42,"yyyy-mm"))</x:f>
      </x:c>
      <x:c r="M42" s="17" t="str">
        <x:f>IF(A42="","","MOV-"&amp;TEXT(ROW()-5,"0000"))</x:f>
      </x:c>
    </x:row>
    <x:row r="43">
      <x:c r="A43" s="63"/>
      <x:c r="B43" s="17" t="str"/>
      <x:c r="C43" s="17" t="str"/>
      <x:c r="D43" s="17" t="str"/>
      <x:c r="E43" s="17" t="str"/>
      <x:c r="F43" s="17" t="str"/>
      <x:c r="G43" s="17" t="str"/>
      <x:c r="H43" s="17" t="str"/>
      <x:c r="I43" s="18"/>
      <x:c r="J43" s="18"/>
      <x:c r="K43" s="18" t="str">
        <x:f>IF(AND(I43="",J43=""),"",SUM($I$6:I43)-SUM($J$6:J43))</x:f>
      </x:c>
      <x:c r="L43" s="17" t="str">
        <x:f>IF(A43="","",TEXT(A43,"yyyy-mm"))</x:f>
      </x:c>
      <x:c r="M43" s="17" t="str">
        <x:f>IF(A43="","","MOV-"&amp;TEXT(ROW()-5,"0000"))</x:f>
      </x:c>
    </x:row>
    <x:row r="44">
      <x:c r="A44" s="63"/>
      <x:c r="B44" s="17" t="str"/>
      <x:c r="C44" s="17" t="str"/>
      <x:c r="D44" s="17" t="str"/>
      <x:c r="E44" s="17" t="str"/>
      <x:c r="F44" s="17" t="str"/>
      <x:c r="G44" s="17" t="str"/>
      <x:c r="H44" s="17" t="str"/>
      <x:c r="I44" s="18"/>
      <x:c r="J44" s="18"/>
      <x:c r="K44" s="18" t="str">
        <x:f>IF(AND(I44="",J44=""),"",SUM($I$6:I44)-SUM($J$6:J44))</x:f>
      </x:c>
      <x:c r="L44" s="17" t="str">
        <x:f>IF(A44="","",TEXT(A44,"yyyy-mm"))</x:f>
      </x:c>
      <x:c r="M44" s="17" t="str">
        <x:f>IF(A44="","","MOV-"&amp;TEXT(ROW()-5,"0000"))</x:f>
      </x:c>
    </x:row>
    <x:row r="45">
      <x:c r="A45" s="63"/>
      <x:c r="B45" s="17" t="str"/>
      <x:c r="C45" s="17" t="str"/>
      <x:c r="D45" s="17" t="str"/>
      <x:c r="E45" s="17" t="str"/>
      <x:c r="F45" s="17" t="str"/>
      <x:c r="G45" s="17" t="str"/>
      <x:c r="H45" s="17" t="str"/>
      <x:c r="I45" s="18"/>
      <x:c r="J45" s="18"/>
      <x:c r="K45" s="18" t="str">
        <x:f>IF(AND(I45="",J45=""),"",SUM($I$6:I45)-SUM($J$6:J45))</x:f>
      </x:c>
      <x:c r="L45" s="17" t="str">
        <x:f>IF(A45="","",TEXT(A45,"yyyy-mm"))</x:f>
      </x:c>
      <x:c r="M45" s="17" t="str">
        <x:f>IF(A45="","","MOV-"&amp;TEXT(ROW()-5,"0000"))</x:f>
      </x:c>
    </x:row>
    <x:row r="46">
      <x:c r="A46" s="63"/>
      <x:c r="B46" s="17" t="str"/>
      <x:c r="C46" s="17" t="str"/>
      <x:c r="D46" s="17" t="str"/>
      <x:c r="E46" s="17" t="str"/>
      <x:c r="F46" s="17" t="str"/>
      <x:c r="G46" s="17" t="str"/>
      <x:c r="H46" s="17" t="str"/>
      <x:c r="I46" s="18"/>
      <x:c r="J46" s="18"/>
      <x:c r="K46" s="18" t="str">
        <x:f>IF(AND(I46="",J46=""),"",SUM($I$6:I46)-SUM($J$6:J46))</x:f>
      </x:c>
      <x:c r="L46" s="17" t="str">
        <x:f>IF(A46="","",TEXT(A46,"yyyy-mm"))</x:f>
      </x:c>
      <x:c r="M46" s="17" t="str">
        <x:f>IF(A46="","","MOV-"&amp;TEXT(ROW()-5,"0000"))</x:f>
      </x:c>
    </x:row>
    <x:row r="47">
      <x:c r="A47" s="63"/>
      <x:c r="B47" s="17" t="str"/>
      <x:c r="C47" s="17" t="str"/>
      <x:c r="D47" s="17" t="str"/>
      <x:c r="E47" s="17" t="str"/>
      <x:c r="F47" s="17" t="str"/>
      <x:c r="G47" s="17" t="str"/>
      <x:c r="H47" s="17" t="str"/>
      <x:c r="I47" s="18"/>
      <x:c r="J47" s="18"/>
      <x:c r="K47" s="18" t="str">
        <x:f>IF(AND(I47="",J47=""),"",SUM($I$6:I47)-SUM($J$6:J47))</x:f>
      </x:c>
      <x:c r="L47" s="17" t="str">
        <x:f>IF(A47="","",TEXT(A47,"yyyy-mm"))</x:f>
      </x:c>
      <x:c r="M47" s="17" t="str">
        <x:f>IF(A47="","","MOV-"&amp;TEXT(ROW()-5,"0000"))</x:f>
      </x:c>
    </x:row>
    <x:row r="48">
      <x:c r="A48" s="63"/>
      <x:c r="B48" s="17" t="str"/>
      <x:c r="C48" s="17" t="str"/>
      <x:c r="D48" s="17" t="str"/>
      <x:c r="E48" s="17" t="str"/>
      <x:c r="F48" s="17" t="str"/>
      <x:c r="G48" s="17" t="str"/>
      <x:c r="H48" s="17" t="str"/>
      <x:c r="I48" s="18"/>
      <x:c r="J48" s="18"/>
      <x:c r="K48" s="18" t="str">
        <x:f>IF(AND(I48="",J48=""),"",SUM($I$6:I48)-SUM($J$6:J48))</x:f>
      </x:c>
      <x:c r="L48" s="17" t="str">
        <x:f>IF(A48="","",TEXT(A48,"yyyy-mm"))</x:f>
      </x:c>
      <x:c r="M48" s="17" t="str">
        <x:f>IF(A48="","","MOV-"&amp;TEXT(ROW()-5,"0000"))</x:f>
      </x:c>
    </x:row>
    <x:row r="49">
      <x:c r="A49" s="63"/>
      <x:c r="B49" s="17" t="str"/>
      <x:c r="C49" s="17" t="str"/>
      <x:c r="D49" s="17" t="str"/>
      <x:c r="E49" s="17" t="str"/>
      <x:c r="F49" s="17" t="str"/>
      <x:c r="G49" s="17" t="str"/>
      <x:c r="H49" s="17" t="str"/>
      <x:c r="I49" s="18"/>
      <x:c r="J49" s="18"/>
      <x:c r="K49" s="18" t="str">
        <x:f>IF(AND(I49="",J49=""),"",SUM($I$6:I49)-SUM($J$6:J49))</x:f>
      </x:c>
      <x:c r="L49" s="17" t="str">
        <x:f>IF(A49="","",TEXT(A49,"yyyy-mm"))</x:f>
      </x:c>
      <x:c r="M49" s="17" t="str">
        <x:f>IF(A49="","","MOV-"&amp;TEXT(ROW()-5,"0000"))</x:f>
      </x:c>
    </x:row>
    <x:row r="50">
      <x:c r="A50" s="63"/>
      <x:c r="B50" s="17" t="str"/>
      <x:c r="C50" s="17" t="str"/>
      <x:c r="D50" s="17" t="str"/>
      <x:c r="E50" s="17" t="str"/>
      <x:c r="F50" s="17" t="str"/>
      <x:c r="G50" s="17" t="str"/>
      <x:c r="H50" s="17" t="str"/>
      <x:c r="I50" s="18"/>
      <x:c r="J50" s="18"/>
      <x:c r="K50" s="18" t="str">
        <x:f>IF(AND(I50="",J50=""),"",SUM($I$6:I50)-SUM($J$6:J50))</x:f>
      </x:c>
      <x:c r="L50" s="17" t="str">
        <x:f>IF(A50="","",TEXT(A50,"yyyy-mm"))</x:f>
      </x:c>
      <x:c r="M50" s="17" t="str">
        <x:f>IF(A50="","","MOV-"&amp;TEXT(ROW()-5,"0000"))</x:f>
      </x:c>
    </x:row>
    <x:row r="51">
      <x:c r="A51" s="63"/>
      <x:c r="B51" s="17" t="str"/>
      <x:c r="C51" s="17" t="str"/>
      <x:c r="D51" s="17" t="str"/>
      <x:c r="E51" s="17" t="str"/>
      <x:c r="F51" s="17" t="str"/>
      <x:c r="G51" s="17" t="str"/>
      <x:c r="H51" s="17" t="str"/>
      <x:c r="I51" s="18"/>
      <x:c r="J51" s="18"/>
      <x:c r="K51" s="18" t="str">
        <x:f>IF(AND(I51="",J51=""),"",SUM($I$6:I51)-SUM($J$6:J51))</x:f>
      </x:c>
      <x:c r="L51" s="17" t="str">
        <x:f>IF(A51="","",TEXT(A51,"yyyy-mm"))</x:f>
      </x:c>
      <x:c r="M51" s="17" t="str">
        <x:f>IF(A51="","","MOV-"&amp;TEXT(ROW()-5,"0000"))</x:f>
      </x:c>
    </x:row>
    <x:row r="52">
      <x:c r="A52" s="63"/>
      <x:c r="B52" s="17" t="str"/>
      <x:c r="C52" s="17" t="str"/>
      <x:c r="D52" s="17" t="str"/>
      <x:c r="E52" s="17" t="str"/>
      <x:c r="F52" s="17" t="str"/>
      <x:c r="G52" s="17" t="str"/>
      <x:c r="H52" s="17" t="str"/>
      <x:c r="I52" s="18"/>
      <x:c r="J52" s="18"/>
      <x:c r="K52" s="18" t="str">
        <x:f>IF(AND(I52="",J52=""),"",SUM($I$6:I52)-SUM($J$6:J52))</x:f>
      </x:c>
      <x:c r="L52" s="17" t="str">
        <x:f>IF(A52="","",TEXT(A52,"yyyy-mm"))</x:f>
      </x:c>
      <x:c r="M52" s="17" t="str">
        <x:f>IF(A52="","","MOV-"&amp;TEXT(ROW()-5,"0000"))</x:f>
      </x:c>
    </x:row>
    <x:row r="53">
      <x:c r="A53" s="63"/>
      <x:c r="B53" s="17" t="str"/>
      <x:c r="C53" s="17" t="str"/>
      <x:c r="D53" s="17" t="str"/>
      <x:c r="E53" s="17" t="str"/>
      <x:c r="F53" s="17" t="str"/>
      <x:c r="G53" s="17" t="str"/>
      <x:c r="H53" s="17" t="str"/>
      <x:c r="I53" s="18"/>
      <x:c r="J53" s="18"/>
      <x:c r="K53" s="18" t="str">
        <x:f>IF(AND(I53="",J53=""),"",SUM($I$6:I53)-SUM($J$6:J53))</x:f>
      </x:c>
      <x:c r="L53" s="17" t="str">
        <x:f>IF(A53="","",TEXT(A53,"yyyy-mm"))</x:f>
      </x:c>
      <x:c r="M53" s="17" t="str">
        <x:f>IF(A53="","","MOV-"&amp;TEXT(ROW()-5,"0000"))</x:f>
      </x:c>
    </x:row>
    <x:row r="54">
      <x:c r="A54" s="63"/>
      <x:c r="B54" s="17" t="str"/>
      <x:c r="C54" s="17" t="str"/>
      <x:c r="D54" s="17" t="str"/>
      <x:c r="E54" s="17" t="str"/>
      <x:c r="F54" s="17" t="str"/>
      <x:c r="G54" s="17" t="str"/>
      <x:c r="H54" s="17" t="str"/>
      <x:c r="I54" s="18"/>
      <x:c r="J54" s="18"/>
      <x:c r="K54" s="18" t="str">
        <x:f>IF(AND(I54="",J54=""),"",SUM($I$6:I54)-SUM($J$6:J54))</x:f>
      </x:c>
      <x:c r="L54" s="17" t="str">
        <x:f>IF(A54="","",TEXT(A54,"yyyy-mm"))</x:f>
      </x:c>
      <x:c r="M54" s="17" t="str">
        <x:f>IF(A54="","","MOV-"&amp;TEXT(ROW()-5,"0000"))</x:f>
      </x:c>
    </x:row>
    <x:row r="55">
      <x:c r="A55" s="63"/>
      <x:c r="B55" s="17" t="str"/>
      <x:c r="C55" s="17" t="str"/>
      <x:c r="D55" s="17" t="str"/>
      <x:c r="E55" s="17" t="str"/>
      <x:c r="F55" s="17" t="str"/>
      <x:c r="G55" s="17" t="str"/>
      <x:c r="H55" s="17" t="str"/>
      <x:c r="I55" s="18"/>
      <x:c r="J55" s="18"/>
      <x:c r="K55" s="18" t="str">
        <x:f>IF(AND(I55="",J55=""),"",SUM($I$6:I55)-SUM($J$6:J55))</x:f>
      </x:c>
      <x:c r="L55" s="17" t="str">
        <x:f>IF(A55="","",TEXT(A55,"yyyy-mm"))</x:f>
      </x:c>
      <x:c r="M55" s="17" t="str">
        <x:f>IF(A55="","","MOV-"&amp;TEXT(ROW()-5,"0000"))</x:f>
      </x:c>
    </x:row>
    <x:row r="56">
      <x:c r="A56" s="63"/>
      <x:c r="B56" s="17" t="str"/>
      <x:c r="C56" s="17" t="str"/>
      <x:c r="D56" s="17" t="str"/>
      <x:c r="E56" s="17" t="str"/>
      <x:c r="F56" s="17" t="str"/>
      <x:c r="G56" s="17" t="str"/>
      <x:c r="H56" s="17" t="str"/>
      <x:c r="I56" s="18"/>
      <x:c r="J56" s="18"/>
      <x:c r="K56" s="18" t="str">
        <x:f>IF(AND(I56="",J56=""),"",SUM($I$6:I56)-SUM($J$6:J56))</x:f>
      </x:c>
      <x:c r="L56" s="17" t="str">
        <x:f>IF(A56="","",TEXT(A56,"yyyy-mm"))</x:f>
      </x:c>
      <x:c r="M56" s="17" t="str">
        <x:f>IF(A56="","","MOV-"&amp;TEXT(ROW()-5,"0000"))</x:f>
      </x:c>
    </x:row>
    <x:row r="57">
      <x:c r="A57" s="63"/>
      <x:c r="B57" s="17" t="str"/>
      <x:c r="C57" s="17" t="str"/>
      <x:c r="D57" s="17" t="str"/>
      <x:c r="E57" s="17" t="str"/>
      <x:c r="F57" s="17" t="str"/>
      <x:c r="G57" s="17" t="str"/>
      <x:c r="H57" s="17" t="str"/>
      <x:c r="I57" s="18"/>
      <x:c r="J57" s="18"/>
      <x:c r="K57" s="18" t="str">
        <x:f>IF(AND(I57="",J57=""),"",SUM($I$6:I57)-SUM($J$6:J57))</x:f>
      </x:c>
      <x:c r="L57" s="17" t="str">
        <x:f>IF(A57="","",TEXT(A57,"yyyy-mm"))</x:f>
      </x:c>
      <x:c r="M57" s="17" t="str">
        <x:f>IF(A57="","","MOV-"&amp;TEXT(ROW()-5,"0000"))</x:f>
      </x:c>
    </x:row>
    <x:row r="58">
      <x:c r="A58" s="63"/>
      <x:c r="B58" s="17" t="str"/>
      <x:c r="C58" s="17" t="str"/>
      <x:c r="D58" s="17" t="str"/>
      <x:c r="E58" s="17" t="str"/>
      <x:c r="F58" s="17" t="str"/>
      <x:c r="G58" s="17" t="str"/>
      <x:c r="H58" s="17" t="str"/>
      <x:c r="I58" s="18"/>
      <x:c r="J58" s="18"/>
      <x:c r="K58" s="18" t="str">
        <x:f>IF(AND(I58="",J58=""),"",SUM($I$6:I58)-SUM($J$6:J58))</x:f>
      </x:c>
      <x:c r="L58" s="17" t="str">
        <x:f>IF(A58="","",TEXT(A58,"yyyy-mm"))</x:f>
      </x:c>
      <x:c r="M58" s="17" t="str">
        <x:f>IF(A58="","","MOV-"&amp;TEXT(ROW()-5,"0000"))</x:f>
      </x:c>
    </x:row>
    <x:row r="59">
      <x:c r="A59" s="63"/>
      <x:c r="B59" s="17" t="str"/>
      <x:c r="C59" s="17" t="str"/>
      <x:c r="D59" s="17" t="str"/>
      <x:c r="E59" s="17" t="str"/>
      <x:c r="F59" s="17" t="str"/>
      <x:c r="G59" s="17" t="str"/>
      <x:c r="H59" s="17" t="str"/>
      <x:c r="I59" s="18"/>
      <x:c r="J59" s="18"/>
      <x:c r="K59" s="18" t="str">
        <x:f>IF(AND(I59="",J59=""),"",SUM($I$6:I59)-SUM($J$6:J59))</x:f>
      </x:c>
      <x:c r="L59" s="17" t="str">
        <x:f>IF(A59="","",TEXT(A59,"yyyy-mm"))</x:f>
      </x:c>
      <x:c r="M59" s="17" t="str">
        <x:f>IF(A59="","","MOV-"&amp;TEXT(ROW()-5,"0000"))</x:f>
      </x:c>
    </x:row>
    <x:row r="60">
      <x:c r="A60" s="63"/>
      <x:c r="B60" s="17" t="str"/>
      <x:c r="C60" s="17" t="str"/>
      <x:c r="D60" s="17" t="str"/>
      <x:c r="E60" s="17" t="str"/>
      <x:c r="F60" s="17" t="str"/>
      <x:c r="G60" s="17" t="str"/>
      <x:c r="H60" s="17" t="str"/>
      <x:c r="I60" s="18"/>
      <x:c r="J60" s="18"/>
      <x:c r="K60" s="18" t="str">
        <x:f>IF(AND(I60="",J60=""),"",SUM($I$6:I60)-SUM($J$6:J60))</x:f>
      </x:c>
      <x:c r="L60" s="17" t="str">
        <x:f>IF(A60="","",TEXT(A60,"yyyy-mm"))</x:f>
      </x:c>
      <x:c r="M60" s="17" t="str">
        <x:f>IF(A60="","","MOV-"&amp;TEXT(ROW()-5,"0000"))</x:f>
      </x:c>
    </x:row>
    <x:row r="61">
      <x:c r="A61" s="63"/>
      <x:c r="B61" s="17" t="str"/>
      <x:c r="C61" s="17" t="str"/>
      <x:c r="D61" s="17" t="str"/>
      <x:c r="E61" s="17" t="str"/>
      <x:c r="F61" s="17" t="str"/>
      <x:c r="G61" s="17" t="str"/>
      <x:c r="H61" s="17" t="str"/>
      <x:c r="I61" s="18"/>
      <x:c r="J61" s="18"/>
      <x:c r="K61" s="18" t="str">
        <x:f>IF(AND(I61="",J61=""),"",SUM($I$6:I61)-SUM($J$6:J61))</x:f>
      </x:c>
      <x:c r="L61" s="17" t="str">
        <x:f>IF(A61="","",TEXT(A61,"yyyy-mm"))</x:f>
      </x:c>
      <x:c r="M61" s="17" t="str">
        <x:f>IF(A61="","","MOV-"&amp;TEXT(ROW()-5,"0000"))</x:f>
      </x:c>
    </x:row>
    <x:row r="62">
      <x:c r="A62" s="63"/>
      <x:c r="B62" s="17" t="str"/>
      <x:c r="C62" s="17" t="str"/>
      <x:c r="D62" s="17" t="str"/>
      <x:c r="E62" s="17" t="str"/>
      <x:c r="F62" s="17" t="str"/>
      <x:c r="G62" s="17" t="str"/>
      <x:c r="H62" s="17" t="str"/>
      <x:c r="I62" s="18"/>
      <x:c r="J62" s="18"/>
      <x:c r="K62" s="18" t="str">
        <x:f>IF(AND(I62="",J62=""),"",SUM($I$6:I62)-SUM($J$6:J62))</x:f>
      </x:c>
      <x:c r="L62" s="17" t="str">
        <x:f>IF(A62="","",TEXT(A62,"yyyy-mm"))</x:f>
      </x:c>
      <x:c r="M62" s="17" t="str">
        <x:f>IF(A62="","","MOV-"&amp;TEXT(ROW()-5,"0000"))</x:f>
      </x:c>
    </x:row>
    <x:row r="63">
      <x:c r="A63" s="63"/>
      <x:c r="B63" s="17" t="str"/>
      <x:c r="C63" s="17" t="str"/>
      <x:c r="D63" s="17" t="str"/>
      <x:c r="E63" s="17" t="str"/>
      <x:c r="F63" s="17" t="str"/>
      <x:c r="G63" s="17" t="str"/>
      <x:c r="H63" s="17" t="str"/>
      <x:c r="I63" s="18"/>
      <x:c r="J63" s="18"/>
      <x:c r="K63" s="18" t="str">
        <x:f>IF(AND(I63="",J63=""),"",SUM($I$6:I63)-SUM($J$6:J63))</x:f>
      </x:c>
      <x:c r="L63" s="17" t="str">
        <x:f>IF(A63="","",TEXT(A63,"yyyy-mm"))</x:f>
      </x:c>
      <x:c r="M63" s="17" t="str">
        <x:f>IF(A63="","","MOV-"&amp;TEXT(ROW()-5,"0000"))</x:f>
      </x:c>
    </x:row>
    <x:row r="64">
      <x:c r="A64" s="63"/>
      <x:c r="B64" s="17" t="str"/>
      <x:c r="C64" s="17" t="str"/>
      <x:c r="D64" s="17" t="str"/>
      <x:c r="E64" s="17" t="str"/>
      <x:c r="F64" s="17" t="str"/>
      <x:c r="G64" s="17" t="str"/>
      <x:c r="H64" s="17" t="str"/>
      <x:c r="I64" s="18"/>
      <x:c r="J64" s="18"/>
      <x:c r="K64" s="18" t="str">
        <x:f>IF(AND(I64="",J64=""),"",SUM($I$6:I64)-SUM($J$6:J64))</x:f>
      </x:c>
      <x:c r="L64" s="17" t="str">
        <x:f>IF(A64="","",TEXT(A64,"yyyy-mm"))</x:f>
      </x:c>
      <x:c r="M64" s="17" t="str">
        <x:f>IF(A64="","","MOV-"&amp;TEXT(ROW()-5,"0000"))</x:f>
      </x:c>
    </x:row>
    <x:row r="65">
      <x:c r="A65" s="63"/>
      <x:c r="B65" s="17" t="str"/>
      <x:c r="C65" s="17" t="str"/>
      <x:c r="D65" s="17" t="str"/>
      <x:c r="E65" s="17" t="str"/>
      <x:c r="F65" s="17" t="str"/>
      <x:c r="G65" s="17" t="str"/>
      <x:c r="H65" s="17" t="str"/>
      <x:c r="I65" s="18"/>
      <x:c r="J65" s="18"/>
      <x:c r="K65" s="18" t="str">
        <x:f>IF(AND(I65="",J65=""),"",SUM($I$6:I65)-SUM($J$6:J65))</x:f>
      </x:c>
      <x:c r="L65" s="17" t="str">
        <x:f>IF(A65="","",TEXT(A65,"yyyy-mm"))</x:f>
      </x:c>
      <x:c r="M65" s="17" t="str">
        <x:f>IF(A65="","","MOV-"&amp;TEXT(ROW()-5,"0000"))</x:f>
      </x:c>
    </x:row>
    <x:row r="66">
      <x:c r="A66" s="63"/>
      <x:c r="B66" s="17" t="str"/>
      <x:c r="C66" s="17" t="str"/>
      <x:c r="D66" s="17" t="str"/>
      <x:c r="E66" s="17" t="str"/>
      <x:c r="F66" s="17" t="str"/>
      <x:c r="G66" s="17" t="str"/>
      <x:c r="H66" s="17" t="str"/>
      <x:c r="I66" s="18"/>
      <x:c r="J66" s="18"/>
      <x:c r="K66" s="18" t="str">
        <x:f>IF(AND(I66="",J66=""),"",SUM($I$6:I66)-SUM($J$6:J66))</x:f>
      </x:c>
      <x:c r="L66" s="17" t="str">
        <x:f>IF(A66="","",TEXT(A66,"yyyy-mm"))</x:f>
      </x:c>
      <x:c r="M66" s="17" t="str">
        <x:f>IF(A66="","","MOV-"&amp;TEXT(ROW()-5,"0000"))</x:f>
      </x:c>
    </x:row>
    <x:row r="67">
      <x:c r="A67" s="63"/>
      <x:c r="B67" s="17" t="str"/>
      <x:c r="C67" s="17" t="str"/>
      <x:c r="D67" s="17" t="str"/>
      <x:c r="E67" s="17" t="str"/>
      <x:c r="F67" s="17" t="str"/>
      <x:c r="G67" s="17" t="str"/>
      <x:c r="H67" s="17" t="str"/>
      <x:c r="I67" s="18"/>
      <x:c r="J67" s="18"/>
      <x:c r="K67" s="18" t="str">
        <x:f>IF(AND(I67="",J67=""),"",SUM($I$6:I67)-SUM($J$6:J67))</x:f>
      </x:c>
      <x:c r="L67" s="17" t="str">
        <x:f>IF(A67="","",TEXT(A67,"yyyy-mm"))</x:f>
      </x:c>
      <x:c r="M67" s="17" t="str">
        <x:f>IF(A67="","","MOV-"&amp;TEXT(ROW()-5,"0000"))</x:f>
      </x:c>
    </x:row>
    <x:row r="68">
      <x:c r="A68" s="63"/>
      <x:c r="B68" s="17" t="str"/>
      <x:c r="C68" s="17" t="str"/>
      <x:c r="D68" s="17" t="str"/>
      <x:c r="E68" s="17" t="str"/>
      <x:c r="F68" s="17" t="str"/>
      <x:c r="G68" s="17" t="str"/>
      <x:c r="H68" s="17" t="str"/>
      <x:c r="I68" s="18"/>
      <x:c r="J68" s="18"/>
      <x:c r="K68" s="18" t="str">
        <x:f>IF(AND(I68="",J68=""),"",SUM($I$6:I68)-SUM($J$6:J68))</x:f>
      </x:c>
      <x:c r="L68" s="17" t="str">
        <x:f>IF(A68="","",TEXT(A68,"yyyy-mm"))</x:f>
      </x:c>
      <x:c r="M68" s="17" t="str">
        <x:f>IF(A68="","","MOV-"&amp;TEXT(ROW()-5,"0000"))</x:f>
      </x:c>
    </x:row>
    <x:row r="69">
      <x:c r="A69" s="63"/>
      <x:c r="B69" s="17" t="str"/>
      <x:c r="C69" s="17" t="str"/>
      <x:c r="D69" s="17" t="str"/>
      <x:c r="E69" s="17" t="str"/>
      <x:c r="F69" s="17" t="str"/>
      <x:c r="G69" s="17" t="str"/>
      <x:c r="H69" s="17" t="str"/>
      <x:c r="I69" s="18"/>
      <x:c r="J69" s="18"/>
      <x:c r="K69" s="18" t="str">
        <x:f>IF(AND(I69="",J69=""),"",SUM($I$6:I69)-SUM($J$6:J69))</x:f>
      </x:c>
      <x:c r="L69" s="17" t="str">
        <x:f>IF(A69="","",TEXT(A69,"yyyy-mm"))</x:f>
      </x:c>
      <x:c r="M69" s="17" t="str">
        <x:f>IF(A69="","","MOV-"&amp;TEXT(ROW()-5,"0000"))</x:f>
      </x:c>
    </x:row>
    <x:row r="70">
      <x:c r="A70" s="63"/>
      <x:c r="B70" s="17" t="str"/>
      <x:c r="C70" s="17" t="str"/>
      <x:c r="D70" s="17" t="str"/>
      <x:c r="E70" s="17" t="str"/>
      <x:c r="F70" s="17" t="str"/>
      <x:c r="G70" s="17" t="str"/>
      <x:c r="H70" s="17" t="str"/>
      <x:c r="I70" s="18"/>
      <x:c r="J70" s="18"/>
      <x:c r="K70" s="18" t="str">
        <x:f>IF(AND(I70="",J70=""),"",SUM($I$6:I70)-SUM($J$6:J70))</x:f>
      </x:c>
      <x:c r="L70" s="17" t="str">
        <x:f>IF(A70="","",TEXT(A70,"yyyy-mm"))</x:f>
      </x:c>
      <x:c r="M70" s="17" t="str">
        <x:f>IF(A70="","","MOV-"&amp;TEXT(ROW()-5,"0000"))</x:f>
      </x:c>
    </x:row>
    <x:row r="71">
      <x:c r="A71" s="63"/>
      <x:c r="B71" s="17" t="str"/>
      <x:c r="C71" s="17" t="str"/>
      <x:c r="D71" s="17" t="str"/>
      <x:c r="E71" s="17" t="str"/>
      <x:c r="F71" s="17" t="str"/>
      <x:c r="G71" s="17" t="str"/>
      <x:c r="H71" s="17" t="str"/>
      <x:c r="I71" s="18"/>
      <x:c r="J71" s="18"/>
      <x:c r="K71" s="18" t="str">
        <x:f>IF(AND(I71="",J71=""),"",SUM($I$6:I71)-SUM($J$6:J71))</x:f>
      </x:c>
      <x:c r="L71" s="17" t="str">
        <x:f>IF(A71="","",TEXT(A71,"yyyy-mm"))</x:f>
      </x:c>
      <x:c r="M71" s="17" t="str">
        <x:f>IF(A71="","","MOV-"&amp;TEXT(ROW()-5,"0000"))</x:f>
      </x:c>
    </x:row>
    <x:row r="72">
      <x:c r="A72" s="63"/>
      <x:c r="B72" s="17" t="str"/>
      <x:c r="C72" s="17" t="str"/>
      <x:c r="D72" s="17" t="str"/>
      <x:c r="E72" s="17" t="str"/>
      <x:c r="F72" s="17" t="str"/>
      <x:c r="G72" s="17" t="str"/>
      <x:c r="H72" s="17" t="str"/>
      <x:c r="I72" s="18"/>
      <x:c r="J72" s="18"/>
      <x:c r="K72" s="18" t="str">
        <x:f>IF(AND(I72="",J72=""),"",SUM($I$6:I72)-SUM($J$6:J72))</x:f>
      </x:c>
      <x:c r="L72" s="17" t="str">
        <x:f>IF(A72="","",TEXT(A72,"yyyy-mm"))</x:f>
      </x:c>
      <x:c r="M72" s="17" t="str">
        <x:f>IF(A72="","","MOV-"&amp;TEXT(ROW()-5,"0000"))</x:f>
      </x:c>
    </x:row>
    <x:row r="73">
      <x:c r="A73" s="63"/>
      <x:c r="B73" s="17" t="str"/>
      <x:c r="C73" s="17" t="str"/>
      <x:c r="D73" s="17" t="str"/>
      <x:c r="E73" s="17" t="str"/>
      <x:c r="F73" s="17" t="str"/>
      <x:c r="G73" s="17" t="str"/>
      <x:c r="H73" s="17" t="str"/>
      <x:c r="I73" s="18"/>
      <x:c r="J73" s="18"/>
      <x:c r="K73" s="18" t="str">
        <x:f>IF(AND(I73="",J73=""),"",SUM($I$6:I73)-SUM($J$6:J73))</x:f>
      </x:c>
      <x:c r="L73" s="17" t="str">
        <x:f>IF(A73="","",TEXT(A73,"yyyy-mm"))</x:f>
      </x:c>
      <x:c r="M73" s="17" t="str">
        <x:f>IF(A73="","","MOV-"&amp;TEXT(ROW()-5,"0000"))</x:f>
      </x:c>
    </x:row>
    <x:row r="74">
      <x:c r="A74" s="63"/>
      <x:c r="B74" s="17" t="str"/>
      <x:c r="C74" s="17" t="str"/>
      <x:c r="D74" s="17" t="str"/>
      <x:c r="E74" s="17" t="str"/>
      <x:c r="F74" s="17" t="str"/>
      <x:c r="G74" s="17" t="str"/>
      <x:c r="H74" s="17" t="str"/>
      <x:c r="I74" s="18"/>
      <x:c r="J74" s="18"/>
      <x:c r="K74" s="18" t="str">
        <x:f>IF(AND(I74="",J74=""),"",SUM($I$6:I74)-SUM($J$6:J74))</x:f>
      </x:c>
      <x:c r="L74" s="17" t="str">
        <x:f>IF(A74="","",TEXT(A74,"yyyy-mm"))</x:f>
      </x:c>
      <x:c r="M74" s="17" t="str">
        <x:f>IF(A74="","","MOV-"&amp;TEXT(ROW()-5,"0000"))</x:f>
      </x:c>
    </x:row>
    <x:row r="75">
      <x:c r="A75" s="63"/>
      <x:c r="B75" s="17" t="str"/>
      <x:c r="C75" s="17" t="str"/>
      <x:c r="D75" s="17" t="str"/>
      <x:c r="E75" s="17" t="str"/>
      <x:c r="F75" s="17" t="str"/>
      <x:c r="G75" s="17" t="str"/>
      <x:c r="H75" s="17" t="str"/>
      <x:c r="I75" s="18"/>
      <x:c r="J75" s="18"/>
      <x:c r="K75" s="18" t="str">
        <x:f>IF(AND(I75="",J75=""),"",SUM($I$6:I75)-SUM($J$6:J75))</x:f>
      </x:c>
      <x:c r="L75" s="17" t="str">
        <x:f>IF(A75="","",TEXT(A75,"yyyy-mm"))</x:f>
      </x:c>
      <x:c r="M75" s="17" t="str">
        <x:f>IF(A75="","","MOV-"&amp;TEXT(ROW()-5,"0000"))</x:f>
      </x:c>
    </x:row>
    <x:row r="76">
      <x:c r="A76" s="63"/>
      <x:c r="B76" s="17" t="str"/>
      <x:c r="C76" s="17" t="str"/>
      <x:c r="D76" s="17" t="str"/>
      <x:c r="E76" s="17" t="str"/>
      <x:c r="F76" s="17" t="str"/>
      <x:c r="G76" s="17" t="str"/>
      <x:c r="H76" s="17" t="str"/>
      <x:c r="I76" s="18"/>
      <x:c r="J76" s="18"/>
      <x:c r="K76" s="18" t="str">
        <x:f>IF(AND(I76="",J76=""),"",SUM($I$6:I76)-SUM($J$6:J76))</x:f>
      </x:c>
      <x:c r="L76" s="17" t="str">
        <x:f>IF(A76="","",TEXT(A76,"yyyy-mm"))</x:f>
      </x:c>
      <x:c r="M76" s="17" t="str">
        <x:f>IF(A76="","","MOV-"&amp;TEXT(ROW()-5,"0000"))</x:f>
      </x:c>
    </x:row>
    <x:row r="77">
      <x:c r="A77" s="63"/>
      <x:c r="B77" s="17" t="str"/>
      <x:c r="C77" s="17" t="str"/>
      <x:c r="D77" s="17" t="str"/>
      <x:c r="E77" s="17" t="str"/>
      <x:c r="F77" s="17" t="str"/>
      <x:c r="G77" s="17" t="str"/>
      <x:c r="H77" s="17" t="str"/>
      <x:c r="I77" s="18"/>
      <x:c r="J77" s="18"/>
      <x:c r="K77" s="18" t="str">
        <x:f>IF(AND(I77="",J77=""),"",SUM($I$6:I77)-SUM($J$6:J77))</x:f>
      </x:c>
      <x:c r="L77" s="17" t="str">
        <x:f>IF(A77="","",TEXT(A77,"yyyy-mm"))</x:f>
      </x:c>
      <x:c r="M77" s="17" t="str">
        <x:f>IF(A77="","","MOV-"&amp;TEXT(ROW()-5,"0000"))</x:f>
      </x:c>
    </x:row>
    <x:row r="78">
      <x:c r="A78" s="63"/>
      <x:c r="B78" s="17" t="str"/>
      <x:c r="C78" s="17" t="str"/>
      <x:c r="D78" s="17" t="str"/>
      <x:c r="E78" s="17" t="str"/>
      <x:c r="F78" s="17" t="str"/>
      <x:c r="G78" s="17" t="str"/>
      <x:c r="H78" s="17" t="str"/>
      <x:c r="I78" s="18"/>
      <x:c r="J78" s="18"/>
      <x:c r="K78" s="18" t="str">
        <x:f>IF(AND(I78="",J78=""),"",SUM($I$6:I78)-SUM($J$6:J78))</x:f>
      </x:c>
      <x:c r="L78" s="17" t="str">
        <x:f>IF(A78="","",TEXT(A78,"yyyy-mm"))</x:f>
      </x:c>
      <x:c r="M78" s="17" t="str">
        <x:f>IF(A78="","","MOV-"&amp;TEXT(ROW()-5,"0000"))</x:f>
      </x:c>
    </x:row>
    <x:row r="79">
      <x:c r="A79" s="63"/>
      <x:c r="B79" s="17" t="str"/>
      <x:c r="C79" s="17" t="str"/>
      <x:c r="D79" s="17" t="str"/>
      <x:c r="E79" s="17" t="str"/>
      <x:c r="F79" s="17" t="str"/>
      <x:c r="G79" s="17" t="str"/>
      <x:c r="H79" s="17" t="str"/>
      <x:c r="I79" s="18"/>
      <x:c r="J79" s="18"/>
      <x:c r="K79" s="18" t="str">
        <x:f>IF(AND(I79="",J79=""),"",SUM($I$6:I79)-SUM($J$6:J79))</x:f>
      </x:c>
      <x:c r="L79" s="17" t="str">
        <x:f>IF(A79="","",TEXT(A79,"yyyy-mm"))</x:f>
      </x:c>
      <x:c r="M79" s="17" t="str">
        <x:f>IF(A79="","","MOV-"&amp;TEXT(ROW()-5,"0000"))</x:f>
      </x:c>
    </x:row>
    <x:row r="80">
      <x:c r="A80" s="63"/>
      <x:c r="B80" s="17" t="str"/>
      <x:c r="C80" s="17" t="str"/>
      <x:c r="D80" s="17" t="str"/>
      <x:c r="E80" s="17" t="str"/>
      <x:c r="F80" s="17" t="str"/>
      <x:c r="G80" s="17" t="str"/>
      <x:c r="H80" s="17" t="str"/>
      <x:c r="I80" s="18"/>
      <x:c r="J80" s="18"/>
      <x:c r="K80" s="18" t="str">
        <x:f>IF(AND(I80="",J80=""),"",SUM($I$6:I80)-SUM($J$6:J80))</x:f>
      </x:c>
      <x:c r="L80" s="17" t="str">
        <x:f>IF(A80="","",TEXT(A80,"yyyy-mm"))</x:f>
      </x:c>
      <x:c r="M80" s="17" t="str">
        <x:f>IF(A80="","","MOV-"&amp;TEXT(ROW()-5,"0000"))</x:f>
      </x:c>
    </x:row>
    <x:row r="81">
      <x:c r="A81" s="63"/>
      <x:c r="B81" s="17" t="str"/>
      <x:c r="C81" s="17" t="str"/>
      <x:c r="D81" s="17" t="str"/>
      <x:c r="E81" s="17" t="str"/>
      <x:c r="F81" s="17" t="str"/>
      <x:c r="G81" s="17" t="str"/>
      <x:c r="H81" s="17" t="str"/>
      <x:c r="I81" s="18"/>
      <x:c r="J81" s="18"/>
      <x:c r="K81" s="18" t="str">
        <x:f>IF(AND(I81="",J81=""),"",SUM($I$6:I81)-SUM($J$6:J81))</x:f>
      </x:c>
      <x:c r="L81" s="17" t="str">
        <x:f>IF(A81="","",TEXT(A81,"yyyy-mm"))</x:f>
      </x:c>
      <x:c r="M81" s="17" t="str">
        <x:f>IF(A81="","","MOV-"&amp;TEXT(ROW()-5,"0000"))</x:f>
      </x:c>
    </x:row>
    <x:row r="82">
      <x:c r="A82" s="63"/>
      <x:c r="B82" s="17" t="str"/>
      <x:c r="C82" s="17" t="str"/>
      <x:c r="D82" s="17" t="str"/>
      <x:c r="E82" s="17" t="str"/>
      <x:c r="F82" s="17" t="str"/>
      <x:c r="G82" s="17" t="str"/>
      <x:c r="H82" s="17" t="str"/>
      <x:c r="I82" s="18"/>
      <x:c r="J82" s="18"/>
      <x:c r="K82" s="18" t="str">
        <x:f>IF(AND(I82="",J82=""),"",SUM($I$6:I82)-SUM($J$6:J82))</x:f>
      </x:c>
      <x:c r="L82" s="17" t="str">
        <x:f>IF(A82="","",TEXT(A82,"yyyy-mm"))</x:f>
      </x:c>
      <x:c r="M82" s="17" t="str">
        <x:f>IF(A82="","","MOV-"&amp;TEXT(ROW()-5,"0000"))</x:f>
      </x:c>
    </x:row>
    <x:row r="83">
      <x:c r="A83" s="63"/>
      <x:c r="B83" s="17" t="str"/>
      <x:c r="C83" s="17" t="str"/>
      <x:c r="D83" s="17" t="str"/>
      <x:c r="E83" s="17" t="str"/>
      <x:c r="F83" s="17" t="str"/>
      <x:c r="G83" s="17" t="str"/>
      <x:c r="H83" s="17" t="str"/>
      <x:c r="I83" s="18"/>
      <x:c r="J83" s="18"/>
      <x:c r="K83" s="18" t="str">
        <x:f>IF(AND(I83="",J83=""),"",SUM($I$6:I83)-SUM($J$6:J83))</x:f>
      </x:c>
      <x:c r="L83" s="17" t="str">
        <x:f>IF(A83="","",TEXT(A83,"yyyy-mm"))</x:f>
      </x:c>
      <x:c r="M83" s="17" t="str">
        <x:f>IF(A83="","","MOV-"&amp;TEXT(ROW()-5,"0000"))</x:f>
      </x:c>
    </x:row>
    <x:row r="84">
      <x:c r="A84" s="63"/>
      <x:c r="B84" s="17" t="str"/>
      <x:c r="C84" s="17" t="str"/>
      <x:c r="D84" s="17" t="str"/>
      <x:c r="E84" s="17" t="str"/>
      <x:c r="F84" s="17" t="str"/>
      <x:c r="G84" s="17" t="str"/>
      <x:c r="H84" s="17" t="str"/>
      <x:c r="I84" s="18"/>
      <x:c r="J84" s="18"/>
      <x:c r="K84" s="18" t="str">
        <x:f>IF(AND(I84="",J84=""),"",SUM($I$6:I84)-SUM($J$6:J84))</x:f>
      </x:c>
      <x:c r="L84" s="17" t="str">
        <x:f>IF(A84="","",TEXT(A84,"yyyy-mm"))</x:f>
      </x:c>
      <x:c r="M84" s="17" t="str">
        <x:f>IF(A84="","","MOV-"&amp;TEXT(ROW()-5,"0000"))</x:f>
      </x:c>
    </x:row>
    <x:row r="85">
      <x:c r="A85" s="63"/>
      <x:c r="B85" s="17" t="str"/>
      <x:c r="C85" s="17" t="str"/>
      <x:c r="D85" s="17" t="str"/>
      <x:c r="E85" s="17" t="str"/>
      <x:c r="F85" s="17" t="str"/>
      <x:c r="G85" s="17" t="str"/>
      <x:c r="H85" s="17" t="str"/>
      <x:c r="I85" s="18"/>
      <x:c r="J85" s="18"/>
      <x:c r="K85" s="18" t="str">
        <x:f>IF(AND(I85="",J85=""),"",SUM($I$6:I85)-SUM($J$6:J85))</x:f>
      </x:c>
      <x:c r="L85" s="17" t="str">
        <x:f>IF(A85="","",TEXT(A85,"yyyy-mm"))</x:f>
      </x:c>
      <x:c r="M85" s="17" t="str">
        <x:f>IF(A85="","","MOV-"&amp;TEXT(ROW()-5,"0000"))</x:f>
      </x:c>
    </x:row>
    <x:row r="86">
      <x:c r="A86" s="63"/>
      <x:c r="B86" s="17" t="str"/>
      <x:c r="C86" s="17" t="str"/>
      <x:c r="D86" s="17" t="str"/>
      <x:c r="E86" s="17" t="str"/>
      <x:c r="F86" s="17" t="str"/>
      <x:c r="G86" s="17" t="str"/>
      <x:c r="H86" s="17" t="str"/>
      <x:c r="I86" s="18"/>
      <x:c r="J86" s="18"/>
      <x:c r="K86" s="18" t="str">
        <x:f>IF(AND(I86="",J86=""),"",SUM($I$6:I86)-SUM($J$6:J86))</x:f>
      </x:c>
      <x:c r="L86" s="17" t="str">
        <x:f>IF(A86="","",TEXT(A86,"yyyy-mm"))</x:f>
      </x:c>
      <x:c r="M86" s="17" t="str">
        <x:f>IF(A86="","","MOV-"&amp;TEXT(ROW()-5,"0000"))</x:f>
      </x:c>
    </x:row>
    <x:row r="87">
      <x:c r="A87" s="63"/>
      <x:c r="B87" s="17" t="str"/>
      <x:c r="C87" s="17" t="str"/>
      <x:c r="D87" s="17" t="str"/>
      <x:c r="E87" s="17" t="str"/>
      <x:c r="F87" s="17" t="str"/>
      <x:c r="G87" s="17" t="str"/>
      <x:c r="H87" s="17" t="str"/>
      <x:c r="I87" s="18"/>
      <x:c r="J87" s="18"/>
      <x:c r="K87" s="18" t="str">
        <x:f>IF(AND(I87="",J87=""),"",SUM($I$6:I87)-SUM($J$6:J87))</x:f>
      </x:c>
      <x:c r="L87" s="17" t="str">
        <x:f>IF(A87="","",TEXT(A87,"yyyy-mm"))</x:f>
      </x:c>
      <x:c r="M87" s="17" t="str">
        <x:f>IF(A87="","","MOV-"&amp;TEXT(ROW()-5,"0000"))</x:f>
      </x:c>
    </x:row>
    <x:row r="88">
      <x:c r="A88" s="63"/>
      <x:c r="B88" s="17" t="str"/>
      <x:c r="C88" s="17" t="str"/>
      <x:c r="D88" s="17" t="str"/>
      <x:c r="E88" s="17" t="str"/>
      <x:c r="F88" s="17" t="str"/>
      <x:c r="G88" s="17" t="str"/>
      <x:c r="H88" s="17" t="str"/>
      <x:c r="I88" s="18"/>
      <x:c r="J88" s="18"/>
      <x:c r="K88" s="18" t="str">
        <x:f>IF(AND(I88="",J88=""),"",SUM($I$6:I88)-SUM($J$6:J88))</x:f>
      </x:c>
      <x:c r="L88" s="17" t="str">
        <x:f>IF(A88="","",TEXT(A88,"yyyy-mm"))</x:f>
      </x:c>
      <x:c r="M88" s="17" t="str">
        <x:f>IF(A88="","","MOV-"&amp;TEXT(ROW()-5,"0000"))</x:f>
      </x:c>
    </x:row>
    <x:row r="89">
      <x:c r="A89" s="63"/>
      <x:c r="B89" s="17" t="str"/>
      <x:c r="C89" s="17" t="str"/>
      <x:c r="D89" s="17" t="str"/>
      <x:c r="E89" s="17" t="str"/>
      <x:c r="F89" s="17" t="str"/>
      <x:c r="G89" s="17" t="str"/>
      <x:c r="H89" s="17" t="str"/>
      <x:c r="I89" s="18"/>
      <x:c r="J89" s="18"/>
      <x:c r="K89" s="18" t="str">
        <x:f>IF(AND(I89="",J89=""),"",SUM($I$6:I89)-SUM($J$6:J89))</x:f>
      </x:c>
      <x:c r="L89" s="17" t="str">
        <x:f>IF(A89="","",TEXT(A89,"yyyy-mm"))</x:f>
      </x:c>
      <x:c r="M89" s="17" t="str">
        <x:f>IF(A89="","","MOV-"&amp;TEXT(ROW()-5,"0000"))</x:f>
      </x:c>
    </x:row>
    <x:row r="90">
      <x:c r="A90" s="63"/>
      <x:c r="B90" s="17" t="str"/>
      <x:c r="C90" s="17" t="str"/>
      <x:c r="D90" s="17" t="str"/>
      <x:c r="E90" s="17" t="str"/>
      <x:c r="F90" s="17" t="str"/>
      <x:c r="G90" s="17" t="str"/>
      <x:c r="H90" s="17" t="str"/>
      <x:c r="I90" s="18"/>
      <x:c r="J90" s="18"/>
      <x:c r="K90" s="18" t="str">
        <x:f>IF(AND(I90="",J90=""),"",SUM($I$6:I90)-SUM($J$6:J90))</x:f>
      </x:c>
      <x:c r="L90" s="17" t="str">
        <x:f>IF(A90="","",TEXT(A90,"yyyy-mm"))</x:f>
      </x:c>
      <x:c r="M90" s="17" t="str">
        <x:f>IF(A90="","","MOV-"&amp;TEXT(ROW()-5,"0000"))</x:f>
      </x:c>
    </x:row>
    <x:row r="91">
      <x:c r="A91" s="63"/>
      <x:c r="B91" s="17" t="str"/>
      <x:c r="C91" s="17" t="str"/>
      <x:c r="D91" s="17" t="str"/>
      <x:c r="E91" s="17" t="str"/>
      <x:c r="F91" s="17" t="str"/>
      <x:c r="G91" s="17" t="str"/>
      <x:c r="H91" s="17" t="str"/>
      <x:c r="I91" s="18"/>
      <x:c r="J91" s="18"/>
      <x:c r="K91" s="18" t="str">
        <x:f>IF(AND(I91="",J91=""),"",SUM($I$6:I91)-SUM($J$6:J91))</x:f>
      </x:c>
      <x:c r="L91" s="17" t="str">
        <x:f>IF(A91="","",TEXT(A91,"yyyy-mm"))</x:f>
      </x:c>
      <x:c r="M91" s="17" t="str">
        <x:f>IF(A91="","","MOV-"&amp;TEXT(ROW()-5,"0000"))</x:f>
      </x:c>
    </x:row>
    <x:row r="92">
      <x:c r="A92" s="63"/>
      <x:c r="B92" s="17" t="str"/>
      <x:c r="C92" s="17" t="str"/>
      <x:c r="D92" s="17" t="str"/>
      <x:c r="E92" s="17" t="str"/>
      <x:c r="F92" s="17" t="str"/>
      <x:c r="G92" s="17" t="str"/>
      <x:c r="H92" s="17" t="str"/>
      <x:c r="I92" s="18"/>
      <x:c r="J92" s="18"/>
      <x:c r="K92" s="18" t="str">
        <x:f>IF(AND(I92="",J92=""),"",SUM($I$6:I92)-SUM($J$6:J92))</x:f>
      </x:c>
      <x:c r="L92" s="17" t="str">
        <x:f>IF(A92="","",TEXT(A92,"yyyy-mm"))</x:f>
      </x:c>
      <x:c r="M92" s="17" t="str">
        <x:f>IF(A92="","","MOV-"&amp;TEXT(ROW()-5,"0000"))</x:f>
      </x:c>
    </x:row>
    <x:row r="93">
      <x:c r="A93" s="63"/>
      <x:c r="B93" s="17" t="str"/>
      <x:c r="C93" s="17" t="str"/>
      <x:c r="D93" s="17" t="str"/>
      <x:c r="E93" s="17" t="str"/>
      <x:c r="F93" s="17" t="str"/>
      <x:c r="G93" s="17" t="str"/>
      <x:c r="H93" s="17" t="str"/>
      <x:c r="I93" s="18"/>
      <x:c r="J93" s="18"/>
      <x:c r="K93" s="18" t="str">
        <x:f>IF(AND(I93="",J93=""),"",SUM($I$6:I93)-SUM($J$6:J93))</x:f>
      </x:c>
      <x:c r="L93" s="17" t="str">
        <x:f>IF(A93="","",TEXT(A93,"yyyy-mm"))</x:f>
      </x:c>
      <x:c r="M93" s="17" t="str">
        <x:f>IF(A93="","","MOV-"&amp;TEXT(ROW()-5,"0000"))</x:f>
      </x:c>
    </x:row>
    <x:row r="94">
      <x:c r="A94" s="63"/>
      <x:c r="B94" s="17" t="str"/>
      <x:c r="C94" s="17" t="str"/>
      <x:c r="D94" s="17" t="str"/>
      <x:c r="E94" s="17" t="str"/>
      <x:c r="F94" s="17" t="str"/>
      <x:c r="G94" s="17" t="str"/>
      <x:c r="H94" s="17" t="str"/>
      <x:c r="I94" s="18"/>
      <x:c r="J94" s="18"/>
      <x:c r="K94" s="18" t="str">
        <x:f>IF(AND(I94="",J94=""),"",SUM($I$6:I94)-SUM($J$6:J94))</x:f>
      </x:c>
      <x:c r="L94" s="17" t="str">
        <x:f>IF(A94="","",TEXT(A94,"yyyy-mm"))</x:f>
      </x:c>
      <x:c r="M94" s="17" t="str">
        <x:f>IF(A94="","","MOV-"&amp;TEXT(ROW()-5,"0000"))</x:f>
      </x:c>
    </x:row>
    <x:row r="95">
      <x:c r="A95" s="63"/>
      <x:c r="B95" s="17" t="str"/>
      <x:c r="C95" s="17" t="str"/>
      <x:c r="D95" s="17" t="str"/>
      <x:c r="E95" s="17" t="str"/>
      <x:c r="F95" s="17" t="str"/>
      <x:c r="G95" s="17" t="str"/>
      <x:c r="H95" s="17" t="str"/>
      <x:c r="I95" s="18"/>
      <x:c r="J95" s="18"/>
      <x:c r="K95" s="18" t="str">
        <x:f>IF(AND(I95="",J95=""),"",SUM($I$6:I95)-SUM($J$6:J95))</x:f>
      </x:c>
      <x:c r="L95" s="17" t="str">
        <x:f>IF(A95="","",TEXT(A95,"yyyy-mm"))</x:f>
      </x:c>
      <x:c r="M95" s="17" t="str">
        <x:f>IF(A95="","","MOV-"&amp;TEXT(ROW()-5,"0000"))</x:f>
      </x:c>
    </x:row>
    <x:row r="96">
      <x:c r="A96" s="63"/>
      <x:c r="B96" s="17" t="str"/>
      <x:c r="C96" s="17" t="str"/>
      <x:c r="D96" s="17" t="str"/>
      <x:c r="E96" s="17" t="str"/>
      <x:c r="F96" s="17" t="str"/>
      <x:c r="G96" s="17" t="str"/>
      <x:c r="H96" s="17" t="str"/>
      <x:c r="I96" s="18"/>
      <x:c r="J96" s="18"/>
      <x:c r="K96" s="18" t="str">
        <x:f>IF(AND(I96="",J96=""),"",SUM($I$6:I96)-SUM($J$6:J96))</x:f>
      </x:c>
      <x:c r="L96" s="17" t="str">
        <x:f>IF(A96="","",TEXT(A96,"yyyy-mm"))</x:f>
      </x:c>
      <x:c r="M96" s="17" t="str">
        <x:f>IF(A96="","","MOV-"&amp;TEXT(ROW()-5,"0000"))</x:f>
      </x:c>
    </x:row>
    <x:row r="97">
      <x:c r="A97" s="63"/>
      <x:c r="B97" s="17" t="str"/>
      <x:c r="C97" s="17" t="str"/>
      <x:c r="D97" s="17" t="str"/>
      <x:c r="E97" s="17" t="str"/>
      <x:c r="F97" s="17" t="str"/>
      <x:c r="G97" s="17" t="str"/>
      <x:c r="H97" s="17" t="str"/>
      <x:c r="I97" s="18"/>
      <x:c r="J97" s="18"/>
      <x:c r="K97" s="18" t="str">
        <x:f>IF(AND(I97="",J97=""),"",SUM($I$6:I97)-SUM($J$6:J97))</x:f>
      </x:c>
      <x:c r="L97" s="17" t="str">
        <x:f>IF(A97="","",TEXT(A97,"yyyy-mm"))</x:f>
      </x:c>
      <x:c r="M97" s="17" t="str">
        <x:f>IF(A97="","","MOV-"&amp;TEXT(ROW()-5,"0000"))</x:f>
      </x:c>
    </x:row>
    <x:row r="98">
      <x:c r="A98" s="63"/>
      <x:c r="B98" s="17" t="str"/>
      <x:c r="C98" s="17" t="str"/>
      <x:c r="D98" s="17" t="str"/>
      <x:c r="E98" s="17" t="str"/>
      <x:c r="F98" s="17" t="str"/>
      <x:c r="G98" s="17" t="str"/>
      <x:c r="H98" s="17" t="str"/>
      <x:c r="I98" s="18"/>
      <x:c r="J98" s="18"/>
      <x:c r="K98" s="18" t="str">
        <x:f>IF(AND(I98="",J98=""),"",SUM($I$6:I98)-SUM($J$6:J98))</x:f>
      </x:c>
      <x:c r="L98" s="17" t="str">
        <x:f>IF(A98="","",TEXT(A98,"yyyy-mm"))</x:f>
      </x:c>
      <x:c r="M98" s="17" t="str">
        <x:f>IF(A98="","","MOV-"&amp;TEXT(ROW()-5,"0000"))</x:f>
      </x:c>
    </x:row>
    <x:row r="99">
      <x:c r="A99" s="63"/>
      <x:c r="B99" s="17" t="str"/>
      <x:c r="C99" s="17" t="str"/>
      <x:c r="D99" s="17" t="str"/>
      <x:c r="E99" s="17" t="str"/>
      <x:c r="F99" s="17" t="str"/>
      <x:c r="G99" s="17" t="str"/>
      <x:c r="H99" s="17" t="str"/>
      <x:c r="I99" s="18"/>
      <x:c r="J99" s="18"/>
      <x:c r="K99" s="18" t="str">
        <x:f>IF(AND(I99="",J99=""),"",SUM($I$6:I99)-SUM($J$6:J99))</x:f>
      </x:c>
      <x:c r="L99" s="17" t="str">
        <x:f>IF(A99="","",TEXT(A99,"yyyy-mm"))</x:f>
      </x:c>
      <x:c r="M99" s="17" t="str">
        <x:f>IF(A99="","","MOV-"&amp;TEXT(ROW()-5,"0000"))</x:f>
      </x:c>
    </x:row>
    <x:row r="100">
      <x:c r="A100" s="63"/>
      <x:c r="B100" s="17" t="str"/>
      <x:c r="C100" s="17" t="str"/>
      <x:c r="D100" s="17" t="str"/>
      <x:c r="E100" s="17" t="str"/>
      <x:c r="F100" s="17" t="str"/>
      <x:c r="G100" s="17" t="str"/>
      <x:c r="H100" s="17" t="str"/>
      <x:c r="I100" s="18"/>
      <x:c r="J100" s="18"/>
      <x:c r="K100" s="18" t="str">
        <x:f>IF(AND(I100="",J100=""),"",SUM($I$6:I100)-SUM($J$6:J100))</x:f>
      </x:c>
      <x:c r="L100" s="17" t="str">
        <x:f>IF(A100="","",TEXT(A100,"yyyy-mm"))</x:f>
      </x:c>
      <x:c r="M100" s="17" t="str">
        <x:f>IF(A100="","","MOV-"&amp;TEXT(ROW()-5,"0000"))</x:f>
      </x:c>
    </x:row>
    <x:row r="101">
      <x:c r="A101" s="63"/>
      <x:c r="B101" s="17" t="str"/>
      <x:c r="C101" s="17" t="str"/>
      <x:c r="D101" s="17" t="str"/>
      <x:c r="E101" s="17" t="str"/>
      <x:c r="F101" s="17" t="str"/>
      <x:c r="G101" s="17" t="str"/>
      <x:c r="H101" s="17" t="str"/>
      <x:c r="I101" s="18"/>
      <x:c r="J101" s="18"/>
      <x:c r="K101" s="18" t="str">
        <x:f>IF(AND(I101="",J101=""),"",SUM($I$6:I101)-SUM($J$6:J101))</x:f>
      </x:c>
      <x:c r="L101" s="17" t="str">
        <x:f>IF(A101="","",TEXT(A101,"yyyy-mm"))</x:f>
      </x:c>
      <x:c r="M101" s="17" t="str">
        <x:f>IF(A101="","","MOV-"&amp;TEXT(ROW()-5,"0000"))</x:f>
      </x:c>
    </x:row>
    <x:row r="102">
      <x:c r="A102" s="63"/>
      <x:c r="B102" s="17" t="str"/>
      <x:c r="C102" s="17" t="str"/>
      <x:c r="D102" s="17" t="str"/>
      <x:c r="E102" s="17" t="str"/>
      <x:c r="F102" s="17" t="str"/>
      <x:c r="G102" s="17" t="str"/>
      <x:c r="H102" s="17" t="str"/>
      <x:c r="I102" s="18"/>
      <x:c r="J102" s="18"/>
      <x:c r="K102" s="18" t="str">
        <x:f>IF(AND(I102="",J102=""),"",SUM($I$6:I102)-SUM($J$6:J102))</x:f>
      </x:c>
      <x:c r="L102" s="17" t="str">
        <x:f>IF(A102="","",TEXT(A102,"yyyy-mm"))</x:f>
      </x:c>
      <x:c r="M102" s="17" t="str">
        <x:f>IF(A102="","","MOV-"&amp;TEXT(ROW()-5,"0000"))</x:f>
      </x:c>
    </x:row>
    <x:row r="103">
      <x:c r="A103" s="63"/>
      <x:c r="B103" s="17" t="str"/>
      <x:c r="C103" s="17" t="str"/>
      <x:c r="D103" s="17" t="str"/>
      <x:c r="E103" s="17" t="str"/>
      <x:c r="F103" s="17" t="str"/>
      <x:c r="G103" s="17" t="str"/>
      <x:c r="H103" s="17" t="str"/>
      <x:c r="I103" s="18"/>
      <x:c r="J103" s="18"/>
      <x:c r="K103" s="18" t="str">
        <x:f>IF(AND(I103="",J103=""),"",SUM($I$6:I103)-SUM($J$6:J103))</x:f>
      </x:c>
      <x:c r="L103" s="17" t="str">
        <x:f>IF(A103="","",TEXT(A103,"yyyy-mm"))</x:f>
      </x:c>
      <x:c r="M103" s="17" t="str">
        <x:f>IF(A103="","","MOV-"&amp;TEXT(ROW()-5,"0000"))</x:f>
      </x:c>
    </x:row>
    <x:row r="104">
      <x:c r="A104" s="63"/>
      <x:c r="B104" s="17" t="str"/>
      <x:c r="C104" s="17" t="str"/>
      <x:c r="D104" s="17" t="str"/>
      <x:c r="E104" s="17" t="str"/>
      <x:c r="F104" s="17" t="str"/>
      <x:c r="G104" s="17" t="str"/>
      <x:c r="H104" s="17" t="str"/>
      <x:c r="I104" s="18"/>
      <x:c r="J104" s="18"/>
      <x:c r="K104" s="18" t="str">
        <x:f>IF(AND(I104="",J104=""),"",SUM($I$6:I104)-SUM($J$6:J104))</x:f>
      </x:c>
      <x:c r="L104" s="17" t="str">
        <x:f>IF(A104="","",TEXT(A104,"yyyy-mm"))</x:f>
      </x:c>
      <x:c r="M104" s="17" t="str">
        <x:f>IF(A104="","","MOV-"&amp;TEXT(ROW()-5,"0000"))</x:f>
      </x:c>
    </x:row>
    <x:row r="105">
      <x:c r="A105" s="63"/>
      <x:c r="B105" s="17" t="str"/>
      <x:c r="C105" s="17" t="str"/>
      <x:c r="D105" s="17" t="str"/>
      <x:c r="E105" s="17" t="str"/>
      <x:c r="F105" s="17" t="str"/>
      <x:c r="G105" s="17" t="str"/>
      <x:c r="H105" s="17" t="str"/>
      <x:c r="I105" s="18"/>
      <x:c r="J105" s="18"/>
      <x:c r="K105" s="18" t="str">
        <x:f>IF(AND(I105="",J105=""),"",SUM($I$6:I105)-SUM($J$6:J105))</x:f>
      </x:c>
      <x:c r="L105" s="17" t="str">
        <x:f>IF(A105="","",TEXT(A105,"yyyy-mm"))</x:f>
      </x:c>
      <x:c r="M105" s="17" t="str">
        <x:f>IF(A105="","","MOV-"&amp;TEXT(ROW()-5,"0000"))</x:f>
      </x:c>
    </x:row>
    <x:row r="106">
      <x:c r="A106" s="63"/>
      <x:c r="B106" s="17" t="str"/>
      <x:c r="C106" s="17" t="str"/>
      <x:c r="D106" s="17" t="str"/>
      <x:c r="E106" s="17" t="str"/>
      <x:c r="F106" s="17" t="str"/>
      <x:c r="G106" s="17" t="str"/>
      <x:c r="H106" s="17" t="str"/>
      <x:c r="I106" s="18"/>
      <x:c r="J106" s="18"/>
      <x:c r="K106" s="18" t="str">
        <x:f>IF(AND(I106="",J106=""),"",SUM($I$6:I106)-SUM($J$6:J106))</x:f>
      </x:c>
      <x:c r="L106" s="17" t="str">
        <x:f>IF(A106="","",TEXT(A106,"yyyy-mm"))</x:f>
      </x:c>
      <x:c r="M106" s="17" t="str">
        <x:f>IF(A106="","","MOV-"&amp;TEXT(ROW()-5,"0000"))</x:f>
      </x:c>
    </x:row>
    <x:row r="107">
      <x:c r="A107" s="63"/>
      <x:c r="B107" s="17" t="str"/>
      <x:c r="C107" s="17" t="str"/>
      <x:c r="D107" s="17" t="str"/>
      <x:c r="E107" s="17" t="str"/>
      <x:c r="F107" s="17" t="str"/>
      <x:c r="G107" s="17" t="str"/>
      <x:c r="H107" s="17" t="str"/>
      <x:c r="I107" s="18"/>
      <x:c r="J107" s="18"/>
      <x:c r="K107" s="18" t="str">
        <x:f>IF(AND(I107="",J107=""),"",SUM($I$6:I107)-SUM($J$6:J107))</x:f>
      </x:c>
      <x:c r="L107" s="17" t="str">
        <x:f>IF(A107="","",TEXT(A107,"yyyy-mm"))</x:f>
      </x:c>
      <x:c r="M107" s="17" t="str">
        <x:f>IF(A107="","","MOV-"&amp;TEXT(ROW()-5,"0000"))</x:f>
      </x:c>
    </x:row>
    <x:row r="108">
      <x:c r="A108" s="63"/>
      <x:c r="B108" s="17" t="str"/>
      <x:c r="C108" s="17" t="str"/>
      <x:c r="D108" s="17" t="str"/>
      <x:c r="E108" s="17" t="str"/>
      <x:c r="F108" s="17" t="str"/>
      <x:c r="G108" s="17" t="str"/>
      <x:c r="H108" s="17" t="str"/>
      <x:c r="I108" s="18"/>
      <x:c r="J108" s="18"/>
      <x:c r="K108" s="18" t="str">
        <x:f>IF(AND(I108="",J108=""),"",SUM($I$6:I108)-SUM($J$6:J108))</x:f>
      </x:c>
      <x:c r="L108" s="17" t="str">
        <x:f>IF(A108="","",TEXT(A108,"yyyy-mm"))</x:f>
      </x:c>
      <x:c r="M108" s="17" t="str">
        <x:f>IF(A108="","","MOV-"&amp;TEXT(ROW()-5,"0000"))</x:f>
      </x:c>
    </x:row>
    <x:row r="109">
      <x:c r="A109" s="63"/>
      <x:c r="B109" s="17" t="str"/>
      <x:c r="C109" s="17" t="str"/>
      <x:c r="D109" s="17" t="str"/>
      <x:c r="E109" s="17" t="str"/>
      <x:c r="F109" s="17" t="str"/>
      <x:c r="G109" s="17" t="str"/>
      <x:c r="H109" s="17" t="str"/>
      <x:c r="I109" s="18"/>
      <x:c r="J109" s="18"/>
      <x:c r="K109" s="18" t="str">
        <x:f>IF(AND(I109="",J109=""),"",SUM($I$6:I109)-SUM($J$6:J109))</x:f>
      </x:c>
      <x:c r="L109" s="17" t="str">
        <x:f>IF(A109="","",TEXT(A109,"yyyy-mm"))</x:f>
      </x:c>
      <x:c r="M109" s="17" t="str">
        <x:f>IF(A109="","","MOV-"&amp;TEXT(ROW()-5,"0000"))</x:f>
      </x:c>
    </x:row>
    <x:row r="110">
      <x:c r="A110" s="63"/>
      <x:c r="B110" s="17" t="str"/>
      <x:c r="C110" s="17" t="str"/>
      <x:c r="D110" s="17" t="str"/>
      <x:c r="E110" s="17" t="str"/>
      <x:c r="F110" s="17" t="str"/>
      <x:c r="G110" s="17" t="str"/>
      <x:c r="H110" s="17" t="str"/>
      <x:c r="I110" s="18"/>
      <x:c r="J110" s="18"/>
      <x:c r="K110" s="18" t="str">
        <x:f>IF(AND(I110="",J110=""),"",SUM($I$6:I110)-SUM($J$6:J110))</x:f>
      </x:c>
      <x:c r="L110" s="17" t="str">
        <x:f>IF(A110="","",TEXT(A110,"yyyy-mm"))</x:f>
      </x:c>
      <x:c r="M110" s="17" t="str">
        <x:f>IF(A110="","","MOV-"&amp;TEXT(ROW()-5,"0000"))</x:f>
      </x:c>
    </x:row>
    <x:row r="111">
      <x:c r="A111" s="63"/>
      <x:c r="B111" s="17" t="str"/>
      <x:c r="C111" s="17" t="str"/>
      <x:c r="D111" s="17" t="str"/>
      <x:c r="E111" s="17" t="str"/>
      <x:c r="F111" s="17" t="str"/>
      <x:c r="G111" s="17" t="str"/>
      <x:c r="H111" s="17" t="str"/>
      <x:c r="I111" s="18"/>
      <x:c r="J111" s="18"/>
      <x:c r="K111" s="18" t="str">
        <x:f>IF(AND(I111="",J111=""),"",SUM($I$6:I111)-SUM($J$6:J111))</x:f>
      </x:c>
      <x:c r="L111" s="17" t="str">
        <x:f>IF(A111="","",TEXT(A111,"yyyy-mm"))</x:f>
      </x:c>
      <x:c r="M111" s="17" t="str">
        <x:f>IF(A111="","","MOV-"&amp;TEXT(ROW()-5,"0000"))</x:f>
      </x:c>
    </x:row>
    <x:row r="112">
      <x:c r="A112" s="63"/>
      <x:c r="B112" s="17" t="str"/>
      <x:c r="C112" s="17" t="str"/>
      <x:c r="D112" s="17" t="str"/>
      <x:c r="E112" s="17" t="str"/>
      <x:c r="F112" s="17" t="str"/>
      <x:c r="G112" s="17" t="str"/>
      <x:c r="H112" s="17" t="str"/>
      <x:c r="I112" s="18"/>
      <x:c r="J112" s="18"/>
      <x:c r="K112" s="18" t="str">
        <x:f>IF(AND(I112="",J112=""),"",SUM($I$6:I112)-SUM($J$6:J112))</x:f>
      </x:c>
      <x:c r="L112" s="17" t="str">
        <x:f>IF(A112="","",TEXT(A112,"yyyy-mm"))</x:f>
      </x:c>
      <x:c r="M112" s="17" t="str">
        <x:f>IF(A112="","","MOV-"&amp;TEXT(ROW()-5,"0000"))</x:f>
      </x:c>
    </x:row>
    <x:row r="113">
      <x:c r="A113" s="63"/>
      <x:c r="B113" s="17" t="str"/>
      <x:c r="C113" s="17" t="str"/>
      <x:c r="D113" s="17" t="str"/>
      <x:c r="E113" s="17" t="str"/>
      <x:c r="F113" s="17" t="str"/>
      <x:c r="G113" s="17" t="str"/>
      <x:c r="H113" s="17" t="str"/>
      <x:c r="I113" s="18"/>
      <x:c r="J113" s="18"/>
      <x:c r="K113" s="18" t="str">
        <x:f>IF(AND(I113="",J113=""),"",SUM($I$6:I113)-SUM($J$6:J113))</x:f>
      </x:c>
      <x:c r="L113" s="17" t="str">
        <x:f>IF(A113="","",TEXT(A113,"yyyy-mm"))</x:f>
      </x:c>
      <x:c r="M113" s="17" t="str">
        <x:f>IF(A113="","","MOV-"&amp;TEXT(ROW()-5,"0000"))</x:f>
      </x:c>
    </x:row>
    <x:row r="114">
      <x:c r="A114" s="63"/>
      <x:c r="B114" s="17" t="str"/>
      <x:c r="C114" s="17" t="str"/>
      <x:c r="D114" s="17" t="str"/>
      <x:c r="E114" s="17" t="str"/>
      <x:c r="F114" s="17" t="str"/>
      <x:c r="G114" s="17" t="str"/>
      <x:c r="H114" s="17" t="str"/>
      <x:c r="I114" s="18"/>
      <x:c r="J114" s="18"/>
      <x:c r="K114" s="18" t="str">
        <x:f>IF(AND(I114="",J114=""),"",SUM($I$6:I114)-SUM($J$6:J114))</x:f>
      </x:c>
      <x:c r="L114" s="17" t="str">
        <x:f>IF(A114="","",TEXT(A114,"yyyy-mm"))</x:f>
      </x:c>
      <x:c r="M114" s="17" t="str">
        <x:f>IF(A114="","","MOV-"&amp;TEXT(ROW()-5,"0000"))</x:f>
      </x:c>
    </x:row>
    <x:row r="115">
      <x:c r="A115" s="63"/>
      <x:c r="B115" s="17" t="str"/>
      <x:c r="C115" s="17" t="str"/>
      <x:c r="D115" s="17" t="str"/>
      <x:c r="E115" s="17" t="str"/>
      <x:c r="F115" s="17" t="str"/>
      <x:c r="G115" s="17" t="str"/>
      <x:c r="H115" s="17" t="str"/>
      <x:c r="I115" s="18"/>
      <x:c r="J115" s="18"/>
      <x:c r="K115" s="18" t="str">
        <x:f>IF(AND(I115="",J115=""),"",SUM($I$6:I115)-SUM($J$6:J115))</x:f>
      </x:c>
      <x:c r="L115" s="17" t="str">
        <x:f>IF(A115="","",TEXT(A115,"yyyy-mm"))</x:f>
      </x:c>
      <x:c r="M115" s="17" t="str">
        <x:f>IF(A115="","","MOV-"&amp;TEXT(ROW()-5,"0000"))</x:f>
      </x:c>
    </x:row>
    <x:row r="116">
      <x:c r="A116" s="63"/>
      <x:c r="B116" s="17" t="str"/>
      <x:c r="C116" s="17" t="str"/>
      <x:c r="D116" s="17" t="str"/>
      <x:c r="E116" s="17" t="str"/>
      <x:c r="F116" s="17" t="str"/>
      <x:c r="G116" s="17" t="str"/>
      <x:c r="H116" s="17" t="str"/>
      <x:c r="I116" s="18"/>
      <x:c r="J116" s="18"/>
      <x:c r="K116" s="18" t="str">
        <x:f>IF(AND(I116="",J116=""),"",SUM($I$6:I116)-SUM($J$6:J116))</x:f>
      </x:c>
      <x:c r="L116" s="17" t="str">
        <x:f>IF(A116="","",TEXT(A116,"yyyy-mm"))</x:f>
      </x:c>
      <x:c r="M116" s="17" t="str">
        <x:f>IF(A116="","","MOV-"&amp;TEXT(ROW()-5,"0000"))</x:f>
      </x:c>
    </x:row>
    <x:row r="117">
      <x:c r="A117" s="63"/>
      <x:c r="B117" s="17" t="str"/>
      <x:c r="C117" s="17" t="str"/>
      <x:c r="D117" s="17" t="str"/>
      <x:c r="E117" s="17" t="str"/>
      <x:c r="F117" s="17" t="str"/>
      <x:c r="G117" s="17" t="str"/>
      <x:c r="H117" s="17" t="str"/>
      <x:c r="I117" s="18"/>
      <x:c r="J117" s="18"/>
      <x:c r="K117" s="18" t="str">
        <x:f>IF(AND(I117="",J117=""),"",SUM($I$6:I117)-SUM($J$6:J117))</x:f>
      </x:c>
      <x:c r="L117" s="17" t="str">
        <x:f>IF(A117="","",TEXT(A117,"yyyy-mm"))</x:f>
      </x:c>
      <x:c r="M117" s="17" t="str">
        <x:f>IF(A117="","","MOV-"&amp;TEXT(ROW()-5,"0000"))</x:f>
      </x:c>
    </x:row>
    <x:row r="118">
      <x:c r="A118" s="63"/>
      <x:c r="B118" s="17" t="str"/>
      <x:c r="C118" s="17" t="str"/>
      <x:c r="D118" s="17" t="str"/>
      <x:c r="E118" s="17" t="str"/>
      <x:c r="F118" s="17" t="str"/>
      <x:c r="G118" s="17" t="str"/>
      <x:c r="H118" s="17" t="str"/>
      <x:c r="I118" s="18"/>
      <x:c r="J118" s="18"/>
      <x:c r="K118" s="18" t="str">
        <x:f>IF(AND(I118="",J118=""),"",SUM($I$6:I118)-SUM($J$6:J118))</x:f>
      </x:c>
      <x:c r="L118" s="17" t="str">
        <x:f>IF(A118="","",TEXT(A118,"yyyy-mm"))</x:f>
      </x:c>
      <x:c r="M118" s="17" t="str">
        <x:f>IF(A118="","","MOV-"&amp;TEXT(ROW()-5,"0000"))</x:f>
      </x:c>
    </x:row>
    <x:row r="119">
      <x:c r="A119" s="63"/>
      <x:c r="B119" s="17" t="str"/>
      <x:c r="C119" s="17" t="str"/>
      <x:c r="D119" s="17" t="str"/>
      <x:c r="E119" s="17" t="str"/>
      <x:c r="F119" s="17" t="str"/>
      <x:c r="G119" s="17" t="str"/>
      <x:c r="H119" s="17" t="str"/>
      <x:c r="I119" s="18"/>
      <x:c r="J119" s="18"/>
      <x:c r="K119" s="18" t="str">
        <x:f>IF(AND(I119="",J119=""),"",SUM($I$6:I119)-SUM($J$6:J119))</x:f>
      </x:c>
      <x:c r="L119" s="17" t="str">
        <x:f>IF(A119="","",TEXT(A119,"yyyy-mm"))</x:f>
      </x:c>
      <x:c r="M119" s="17" t="str">
        <x:f>IF(A119="","","MOV-"&amp;TEXT(ROW()-5,"0000"))</x:f>
      </x:c>
    </x:row>
    <x:row r="120">
      <x:c r="A120" s="63"/>
      <x:c r="B120" s="17" t="str"/>
      <x:c r="C120" s="17" t="str"/>
      <x:c r="D120" s="17" t="str"/>
      <x:c r="E120" s="17" t="str"/>
      <x:c r="F120" s="17" t="str"/>
      <x:c r="G120" s="17" t="str"/>
      <x:c r="H120" s="17" t="str"/>
      <x:c r="I120" s="18"/>
      <x:c r="J120" s="18"/>
      <x:c r="K120" s="18" t="str">
        <x:f>IF(AND(I120="",J120=""),"",SUM($I$6:I120)-SUM($J$6:J120))</x:f>
      </x:c>
      <x:c r="L120" s="17" t="str">
        <x:f>IF(A120="","",TEXT(A120,"yyyy-mm"))</x:f>
      </x:c>
      <x:c r="M120" s="17" t="str">
        <x:f>IF(A120="","","MOV-"&amp;TEXT(ROW()-5,"0000"))</x:f>
      </x:c>
    </x:row>
    <x:row r="121">
      <x:c r="A121" s="63"/>
      <x:c r="B121" s="17" t="str"/>
      <x:c r="C121" s="17" t="str"/>
      <x:c r="D121" s="17" t="str"/>
      <x:c r="E121" s="17" t="str"/>
      <x:c r="F121" s="17" t="str"/>
      <x:c r="G121" s="17" t="str"/>
      <x:c r="H121" s="17" t="str"/>
      <x:c r="I121" s="18"/>
      <x:c r="J121" s="18"/>
      <x:c r="K121" s="18" t="str">
        <x:f>IF(AND(I121="",J121=""),"",SUM($I$6:I121)-SUM($J$6:J121))</x:f>
      </x:c>
      <x:c r="L121" s="17" t="str">
        <x:f>IF(A121="","",TEXT(A121,"yyyy-mm"))</x:f>
      </x:c>
      <x:c r="M121" s="17" t="str">
        <x:f>IF(A121="","","MOV-"&amp;TEXT(ROW()-5,"0000"))</x:f>
      </x:c>
    </x:row>
    <x:row r="122">
      <x:c r="A122" s="63"/>
      <x:c r="B122" s="17" t="str"/>
      <x:c r="C122" s="17" t="str"/>
      <x:c r="D122" s="17" t="str"/>
      <x:c r="E122" s="17" t="str"/>
      <x:c r="F122" s="17" t="str"/>
      <x:c r="G122" s="17" t="str"/>
      <x:c r="H122" s="17" t="str"/>
      <x:c r="I122" s="18"/>
      <x:c r="J122" s="18"/>
      <x:c r="K122" s="18" t="str">
        <x:f>IF(AND(I122="",J122=""),"",SUM($I$6:I122)-SUM($J$6:J122))</x:f>
      </x:c>
      <x:c r="L122" s="17" t="str">
        <x:f>IF(A122="","",TEXT(A122,"yyyy-mm"))</x:f>
      </x:c>
      <x:c r="M122" s="17" t="str">
        <x:f>IF(A122="","","MOV-"&amp;TEXT(ROW()-5,"0000"))</x:f>
      </x:c>
    </x:row>
    <x:row r="123">
      <x:c r="A123" s="63"/>
      <x:c r="B123" s="17" t="str"/>
      <x:c r="C123" s="17" t="str"/>
      <x:c r="D123" s="17" t="str"/>
      <x:c r="E123" s="17" t="str"/>
      <x:c r="F123" s="17" t="str"/>
      <x:c r="G123" s="17" t="str"/>
      <x:c r="H123" s="17" t="str"/>
      <x:c r="I123" s="18"/>
      <x:c r="J123" s="18"/>
      <x:c r="K123" s="18" t="str">
        <x:f>IF(AND(I123="",J123=""),"",SUM($I$6:I123)-SUM($J$6:J123))</x:f>
      </x:c>
      <x:c r="L123" s="17" t="str">
        <x:f>IF(A123="","",TEXT(A123,"yyyy-mm"))</x:f>
      </x:c>
      <x:c r="M123" s="17" t="str">
        <x:f>IF(A123="","","MOV-"&amp;TEXT(ROW()-5,"0000"))</x:f>
      </x:c>
    </x:row>
    <x:row r="124">
      <x:c r="A124" s="63"/>
      <x:c r="B124" s="17" t="str"/>
      <x:c r="C124" s="17" t="str"/>
      <x:c r="D124" s="17" t="str"/>
      <x:c r="E124" s="17" t="str"/>
      <x:c r="F124" s="17" t="str"/>
      <x:c r="G124" s="17" t="str"/>
      <x:c r="H124" s="17" t="str"/>
      <x:c r="I124" s="18"/>
      <x:c r="J124" s="18"/>
      <x:c r="K124" s="18" t="str">
        <x:f>IF(AND(I124="",J124=""),"",SUM($I$6:I124)-SUM($J$6:J124))</x:f>
      </x:c>
      <x:c r="L124" s="17" t="str">
        <x:f>IF(A124="","",TEXT(A124,"yyyy-mm"))</x:f>
      </x:c>
      <x:c r="M124" s="17" t="str">
        <x:f>IF(A124="","","MOV-"&amp;TEXT(ROW()-5,"0000"))</x:f>
      </x:c>
    </x:row>
    <x:row r="125">
      <x:c r="A125" s="63"/>
      <x:c r="B125" s="17" t="str"/>
      <x:c r="C125" s="17" t="str"/>
      <x:c r="D125" s="17" t="str"/>
      <x:c r="E125" s="17" t="str"/>
      <x:c r="F125" s="17" t="str"/>
      <x:c r="G125" s="17" t="str"/>
      <x:c r="H125" s="17" t="str"/>
      <x:c r="I125" s="18"/>
      <x:c r="J125" s="18"/>
      <x:c r="K125" s="18" t="str">
        <x:f>IF(AND(I125="",J125=""),"",SUM($I$6:I125)-SUM($J$6:J125))</x:f>
      </x:c>
      <x:c r="L125" s="17" t="str">
        <x:f>IF(A125="","",TEXT(A125,"yyyy-mm"))</x:f>
      </x:c>
      <x:c r="M125" s="17" t="str">
        <x:f>IF(A125="","","MOV-"&amp;TEXT(ROW()-5,"0000"))</x:f>
      </x:c>
    </x:row>
    <x:row r="126">
      <x:c r="A126" s="63"/>
      <x:c r="B126" s="17" t="str"/>
      <x:c r="C126" s="17" t="str"/>
      <x:c r="D126" s="17" t="str"/>
      <x:c r="E126" s="17" t="str"/>
      <x:c r="F126" s="17" t="str"/>
      <x:c r="G126" s="17" t="str"/>
      <x:c r="H126" s="17" t="str"/>
      <x:c r="I126" s="18"/>
      <x:c r="J126" s="18"/>
      <x:c r="K126" s="18" t="str">
        <x:f>IF(AND(I126="",J126=""),"",SUM($I$6:I126)-SUM($J$6:J126))</x:f>
      </x:c>
      <x:c r="L126" s="17" t="str">
        <x:f>IF(A126="","",TEXT(A126,"yyyy-mm"))</x:f>
      </x:c>
      <x:c r="M126" s="17" t="str">
        <x:f>IF(A126="","","MOV-"&amp;TEXT(ROW()-5,"0000"))</x:f>
      </x:c>
    </x:row>
    <x:row r="127">
      <x:c r="A127" s="63"/>
      <x:c r="B127" s="17" t="str"/>
      <x:c r="C127" s="17" t="str"/>
      <x:c r="D127" s="17" t="str"/>
      <x:c r="E127" s="17" t="str"/>
      <x:c r="F127" s="17" t="str"/>
      <x:c r="G127" s="17" t="str"/>
      <x:c r="H127" s="17" t="str"/>
      <x:c r="I127" s="18"/>
      <x:c r="J127" s="18"/>
      <x:c r="K127" s="18" t="str">
        <x:f>IF(AND(I127="",J127=""),"",SUM($I$6:I127)-SUM($J$6:J127))</x:f>
      </x:c>
      <x:c r="L127" s="17" t="str">
        <x:f>IF(A127="","",TEXT(A127,"yyyy-mm"))</x:f>
      </x:c>
      <x:c r="M127" s="17" t="str">
        <x:f>IF(A127="","","MOV-"&amp;TEXT(ROW()-5,"0000"))</x:f>
      </x:c>
    </x:row>
    <x:row r="128">
      <x:c r="A128" s="63"/>
      <x:c r="B128" s="17" t="str"/>
      <x:c r="C128" s="17" t="str"/>
      <x:c r="D128" s="17" t="str"/>
      <x:c r="E128" s="17" t="str"/>
      <x:c r="F128" s="17" t="str"/>
      <x:c r="G128" s="17" t="str"/>
      <x:c r="H128" s="17" t="str"/>
      <x:c r="I128" s="18"/>
      <x:c r="J128" s="18"/>
      <x:c r="K128" s="18" t="str">
        <x:f>IF(AND(I128="",J128=""),"",SUM($I$6:I128)-SUM($J$6:J128))</x:f>
      </x:c>
      <x:c r="L128" s="17" t="str">
        <x:f>IF(A128="","",TEXT(A128,"yyyy-mm"))</x:f>
      </x:c>
      <x:c r="M128" s="17" t="str">
        <x:f>IF(A128="","","MOV-"&amp;TEXT(ROW()-5,"0000"))</x:f>
      </x:c>
    </x:row>
    <x:row r="129">
      <x:c r="A129" s="63"/>
      <x:c r="B129" s="17" t="str"/>
      <x:c r="C129" s="17" t="str"/>
      <x:c r="D129" s="17" t="str"/>
      <x:c r="E129" s="17" t="str"/>
      <x:c r="F129" s="17" t="str"/>
      <x:c r="G129" s="17" t="str"/>
      <x:c r="H129" s="17" t="str"/>
      <x:c r="I129" s="18"/>
      <x:c r="J129" s="18"/>
      <x:c r="K129" s="18" t="str">
        <x:f>IF(AND(I129="",J129=""),"",SUM($I$6:I129)-SUM($J$6:J129))</x:f>
      </x:c>
      <x:c r="L129" s="17" t="str">
        <x:f>IF(A129="","",TEXT(A129,"yyyy-mm"))</x:f>
      </x:c>
      <x:c r="M129" s="17" t="str">
        <x:f>IF(A129="","","MOV-"&amp;TEXT(ROW()-5,"0000"))</x:f>
      </x:c>
    </x:row>
    <x:row r="130">
      <x:c r="A130" s="63"/>
      <x:c r="B130" s="17" t="str"/>
      <x:c r="C130" s="17" t="str"/>
      <x:c r="D130" s="17" t="str"/>
      <x:c r="E130" s="17" t="str"/>
      <x:c r="F130" s="17" t="str"/>
      <x:c r="G130" s="17" t="str"/>
      <x:c r="H130" s="17" t="str"/>
      <x:c r="I130" s="18"/>
      <x:c r="J130" s="18"/>
      <x:c r="K130" s="18" t="str">
        <x:f>IF(AND(I130="",J130=""),"",SUM($I$6:I130)-SUM($J$6:J130))</x:f>
      </x:c>
      <x:c r="L130" s="17" t="str">
        <x:f>IF(A130="","",TEXT(A130,"yyyy-mm"))</x:f>
      </x:c>
      <x:c r="M130" s="17" t="str">
        <x:f>IF(A130="","","MOV-"&amp;TEXT(ROW()-5,"0000"))</x:f>
      </x:c>
    </x:row>
    <x:row r="131">
      <x:c r="A131" s="63"/>
      <x:c r="B131" s="17" t="str"/>
      <x:c r="C131" s="17" t="str"/>
      <x:c r="D131" s="17" t="str"/>
      <x:c r="E131" s="17" t="str"/>
      <x:c r="F131" s="17" t="str"/>
      <x:c r="G131" s="17" t="str"/>
      <x:c r="H131" s="17" t="str"/>
      <x:c r="I131" s="18"/>
      <x:c r="J131" s="18"/>
      <x:c r="K131" s="18" t="str">
        <x:f>IF(AND(I131="",J131=""),"",SUM($I$6:I131)-SUM($J$6:J131))</x:f>
      </x:c>
      <x:c r="L131" s="17" t="str">
        <x:f>IF(A131="","",TEXT(A131,"yyyy-mm"))</x:f>
      </x:c>
      <x:c r="M131" s="17" t="str">
        <x:f>IF(A131="","","MOV-"&amp;TEXT(ROW()-5,"0000"))</x:f>
      </x:c>
    </x:row>
    <x:row r="132">
      <x:c r="A132" s="63"/>
      <x:c r="B132" s="17" t="str"/>
      <x:c r="C132" s="17" t="str"/>
      <x:c r="D132" s="17" t="str"/>
      <x:c r="E132" s="17" t="str"/>
      <x:c r="F132" s="17" t="str"/>
      <x:c r="G132" s="17" t="str"/>
      <x:c r="H132" s="17" t="str"/>
      <x:c r="I132" s="18"/>
      <x:c r="J132" s="18"/>
      <x:c r="K132" s="18" t="str">
        <x:f>IF(AND(I132="",J132=""),"",SUM($I$6:I132)-SUM($J$6:J132))</x:f>
      </x:c>
      <x:c r="L132" s="17" t="str">
        <x:f>IF(A132="","",TEXT(A132,"yyyy-mm"))</x:f>
      </x:c>
      <x:c r="M132" s="17" t="str">
        <x:f>IF(A132="","","MOV-"&amp;TEXT(ROW()-5,"0000"))</x:f>
      </x:c>
    </x:row>
    <x:row r="133">
      <x:c r="A133" s="63"/>
      <x:c r="B133" s="17" t="str"/>
      <x:c r="C133" s="17" t="str"/>
      <x:c r="D133" s="17" t="str"/>
      <x:c r="E133" s="17" t="str"/>
      <x:c r="F133" s="17" t="str"/>
      <x:c r="G133" s="17" t="str"/>
      <x:c r="H133" s="17" t="str"/>
      <x:c r="I133" s="18"/>
      <x:c r="J133" s="18"/>
      <x:c r="K133" s="18" t="str">
        <x:f>IF(AND(I133="",J133=""),"",SUM($I$6:I133)-SUM($J$6:J133))</x:f>
      </x:c>
      <x:c r="L133" s="17" t="str">
        <x:f>IF(A133="","",TEXT(A133,"yyyy-mm"))</x:f>
      </x:c>
      <x:c r="M133" s="17" t="str">
        <x:f>IF(A133="","","MOV-"&amp;TEXT(ROW()-5,"0000"))</x:f>
      </x:c>
    </x:row>
    <x:row r="134">
      <x:c r="A134" s="63"/>
      <x:c r="B134" s="17" t="str"/>
      <x:c r="C134" s="17" t="str"/>
      <x:c r="D134" s="17" t="str"/>
      <x:c r="E134" s="17" t="str"/>
      <x:c r="F134" s="17" t="str"/>
      <x:c r="G134" s="17" t="str"/>
      <x:c r="H134" s="17" t="str"/>
      <x:c r="I134" s="18"/>
      <x:c r="J134" s="18"/>
      <x:c r="K134" s="18" t="str">
        <x:f>IF(AND(I134="",J134=""),"",SUM($I$6:I134)-SUM($J$6:J134))</x:f>
      </x:c>
      <x:c r="L134" s="17" t="str">
        <x:f>IF(A134="","",TEXT(A134,"yyyy-mm"))</x:f>
      </x:c>
      <x:c r="M134" s="17" t="str">
        <x:f>IF(A134="","","MOV-"&amp;TEXT(ROW()-5,"0000"))</x:f>
      </x:c>
    </x:row>
    <x:row r="135">
      <x:c r="A135" s="63"/>
      <x:c r="B135" s="17" t="str"/>
      <x:c r="C135" s="17" t="str"/>
      <x:c r="D135" s="17" t="str"/>
      <x:c r="E135" s="17" t="str"/>
      <x:c r="F135" s="17" t="str"/>
      <x:c r="G135" s="17" t="str"/>
      <x:c r="H135" s="17" t="str"/>
      <x:c r="I135" s="18"/>
      <x:c r="J135" s="18"/>
      <x:c r="K135" s="18" t="str">
        <x:f>IF(AND(I135="",J135=""),"",SUM($I$6:I135)-SUM($J$6:J135))</x:f>
      </x:c>
      <x:c r="L135" s="17" t="str">
        <x:f>IF(A135="","",TEXT(A135,"yyyy-mm"))</x:f>
      </x:c>
      <x:c r="M135" s="17" t="str">
        <x:f>IF(A135="","","MOV-"&amp;TEXT(ROW()-5,"0000"))</x:f>
      </x:c>
    </x:row>
    <x:row r="136">
      <x:c r="A136" s="63"/>
      <x:c r="B136" s="17" t="str"/>
      <x:c r="C136" s="17" t="str"/>
      <x:c r="D136" s="17" t="str"/>
      <x:c r="E136" s="17" t="str"/>
      <x:c r="F136" s="17" t="str"/>
      <x:c r="G136" s="17" t="str"/>
      <x:c r="H136" s="17" t="str"/>
      <x:c r="I136" s="18"/>
      <x:c r="J136" s="18"/>
      <x:c r="K136" s="18" t="str">
        <x:f>IF(AND(I136="",J136=""),"",SUM($I$6:I136)-SUM($J$6:J136))</x:f>
      </x:c>
      <x:c r="L136" s="17" t="str">
        <x:f>IF(A136="","",TEXT(A136,"yyyy-mm"))</x:f>
      </x:c>
      <x:c r="M136" s="17" t="str">
        <x:f>IF(A136="","","MOV-"&amp;TEXT(ROW()-5,"0000"))</x:f>
      </x:c>
    </x:row>
    <x:row r="137">
      <x:c r="A137" s="63"/>
      <x:c r="B137" s="17" t="str"/>
      <x:c r="C137" s="17" t="str"/>
      <x:c r="D137" s="17" t="str"/>
      <x:c r="E137" s="17" t="str"/>
      <x:c r="F137" s="17" t="str"/>
      <x:c r="G137" s="17" t="str"/>
      <x:c r="H137" s="17" t="str"/>
      <x:c r="I137" s="18"/>
      <x:c r="J137" s="18"/>
      <x:c r="K137" s="18" t="str">
        <x:f>IF(AND(I137="",J137=""),"",SUM($I$6:I137)-SUM($J$6:J137))</x:f>
      </x:c>
      <x:c r="L137" s="17" t="str">
        <x:f>IF(A137="","",TEXT(A137,"yyyy-mm"))</x:f>
      </x:c>
      <x:c r="M137" s="17" t="str">
        <x:f>IF(A137="","","MOV-"&amp;TEXT(ROW()-5,"0000"))</x:f>
      </x:c>
    </x:row>
    <x:row r="138">
      <x:c r="A138" s="63"/>
      <x:c r="B138" s="17" t="str"/>
      <x:c r="C138" s="17" t="str"/>
      <x:c r="D138" s="17" t="str"/>
      <x:c r="E138" s="17" t="str"/>
      <x:c r="F138" s="17" t="str"/>
      <x:c r="G138" s="17" t="str"/>
      <x:c r="H138" s="17" t="str"/>
      <x:c r="I138" s="18"/>
      <x:c r="J138" s="18"/>
      <x:c r="K138" s="18" t="str">
        <x:f>IF(AND(I138="",J138=""),"",SUM($I$6:I138)-SUM($J$6:J138))</x:f>
      </x:c>
      <x:c r="L138" s="17" t="str">
        <x:f>IF(A138="","",TEXT(A138,"yyyy-mm"))</x:f>
      </x:c>
      <x:c r="M138" s="17" t="str">
        <x:f>IF(A138="","","MOV-"&amp;TEXT(ROW()-5,"0000"))</x:f>
      </x:c>
    </x:row>
    <x:row r="139">
      <x:c r="A139" s="63"/>
      <x:c r="B139" s="17" t="str"/>
      <x:c r="C139" s="17" t="str"/>
      <x:c r="D139" s="17" t="str"/>
      <x:c r="E139" s="17" t="str"/>
      <x:c r="F139" s="17" t="str"/>
      <x:c r="G139" s="17" t="str"/>
      <x:c r="H139" s="17" t="str"/>
      <x:c r="I139" s="18"/>
      <x:c r="J139" s="18"/>
      <x:c r="K139" s="18" t="str">
        <x:f>IF(AND(I139="",J139=""),"",SUM($I$6:I139)-SUM($J$6:J139))</x:f>
      </x:c>
      <x:c r="L139" s="17" t="str">
        <x:f>IF(A139="","",TEXT(A139,"yyyy-mm"))</x:f>
      </x:c>
      <x:c r="M139" s="17" t="str">
        <x:f>IF(A139="","","MOV-"&amp;TEXT(ROW()-5,"0000"))</x:f>
      </x:c>
    </x:row>
    <x:row r="140">
      <x:c r="A140" s="63"/>
      <x:c r="B140" s="17" t="str"/>
      <x:c r="C140" s="17" t="str"/>
      <x:c r="D140" s="17" t="str"/>
      <x:c r="E140" s="17" t="str"/>
      <x:c r="F140" s="17" t="str"/>
      <x:c r="G140" s="17" t="str"/>
      <x:c r="H140" s="17" t="str"/>
      <x:c r="I140" s="18"/>
      <x:c r="J140" s="18"/>
      <x:c r="K140" s="18" t="str">
        <x:f>IF(AND(I140="",J140=""),"",SUM($I$6:I140)-SUM($J$6:J140))</x:f>
      </x:c>
      <x:c r="L140" s="17" t="str">
        <x:f>IF(A140="","",TEXT(A140,"yyyy-mm"))</x:f>
      </x:c>
      <x:c r="M140" s="17" t="str">
        <x:f>IF(A140="","","MOV-"&amp;TEXT(ROW()-5,"0000"))</x:f>
      </x:c>
    </x:row>
    <x:row r="141">
      <x:c r="A141" s="63"/>
      <x:c r="B141" s="17" t="str"/>
      <x:c r="C141" s="17" t="str"/>
      <x:c r="D141" s="17" t="str"/>
      <x:c r="E141" s="17" t="str"/>
      <x:c r="F141" s="17" t="str"/>
      <x:c r="G141" s="17" t="str"/>
      <x:c r="H141" s="17" t="str"/>
      <x:c r="I141" s="18"/>
      <x:c r="J141" s="18"/>
      <x:c r="K141" s="18" t="str">
        <x:f>IF(AND(I141="",J141=""),"",SUM($I$6:I141)-SUM($J$6:J141))</x:f>
      </x:c>
      <x:c r="L141" s="17" t="str">
        <x:f>IF(A141="","",TEXT(A141,"yyyy-mm"))</x:f>
      </x:c>
      <x:c r="M141" s="17" t="str">
        <x:f>IF(A141="","","MOV-"&amp;TEXT(ROW()-5,"0000"))</x:f>
      </x:c>
    </x:row>
    <x:row r="142">
      <x:c r="A142" s="63"/>
      <x:c r="B142" s="17" t="str"/>
      <x:c r="C142" s="17" t="str"/>
      <x:c r="D142" s="17" t="str"/>
      <x:c r="E142" s="17" t="str"/>
      <x:c r="F142" s="17" t="str"/>
      <x:c r="G142" s="17" t="str"/>
      <x:c r="H142" s="17" t="str"/>
      <x:c r="I142" s="18"/>
      <x:c r="J142" s="18"/>
      <x:c r="K142" s="18" t="str">
        <x:f>IF(AND(I142="",J142=""),"",SUM($I$6:I142)-SUM($J$6:J142))</x:f>
      </x:c>
      <x:c r="L142" s="17" t="str">
        <x:f>IF(A142="","",TEXT(A142,"yyyy-mm"))</x:f>
      </x:c>
      <x:c r="M142" s="17" t="str">
        <x:f>IF(A142="","","MOV-"&amp;TEXT(ROW()-5,"0000"))</x:f>
      </x:c>
    </x:row>
    <x:row r="143">
      <x:c r="A143" s="63"/>
      <x:c r="B143" s="17" t="str"/>
      <x:c r="C143" s="17" t="str"/>
      <x:c r="D143" s="17" t="str"/>
      <x:c r="E143" s="17" t="str"/>
      <x:c r="F143" s="17" t="str"/>
      <x:c r="G143" s="17" t="str"/>
      <x:c r="H143" s="17" t="str"/>
      <x:c r="I143" s="18"/>
      <x:c r="J143" s="18"/>
      <x:c r="K143" s="18" t="str">
        <x:f>IF(AND(I143="",J143=""),"",SUM($I$6:I143)-SUM($J$6:J143))</x:f>
      </x:c>
      <x:c r="L143" s="17" t="str">
        <x:f>IF(A143="","",TEXT(A143,"yyyy-mm"))</x:f>
      </x:c>
      <x:c r="M143" s="17" t="str">
        <x:f>IF(A143="","","MOV-"&amp;TEXT(ROW()-5,"0000"))</x:f>
      </x:c>
    </x:row>
    <x:row r="144">
      <x:c r="A144" s="63"/>
      <x:c r="B144" s="17" t="str"/>
      <x:c r="C144" s="17" t="str"/>
      <x:c r="D144" s="17" t="str"/>
      <x:c r="E144" s="17" t="str"/>
      <x:c r="F144" s="17" t="str"/>
      <x:c r="G144" s="17" t="str"/>
      <x:c r="H144" s="17" t="str"/>
      <x:c r="I144" s="18"/>
      <x:c r="J144" s="18"/>
      <x:c r="K144" s="18" t="str">
        <x:f>IF(AND(I144="",J144=""),"",SUM($I$6:I144)-SUM($J$6:J144))</x:f>
      </x:c>
      <x:c r="L144" s="17" t="str">
        <x:f>IF(A144="","",TEXT(A144,"yyyy-mm"))</x:f>
      </x:c>
      <x:c r="M144" s="17" t="str">
        <x:f>IF(A144="","","MOV-"&amp;TEXT(ROW()-5,"0000"))</x:f>
      </x:c>
    </x:row>
    <x:row r="145">
      <x:c r="A145" s="63"/>
      <x:c r="B145" s="17" t="str"/>
      <x:c r="C145" s="17" t="str"/>
      <x:c r="D145" s="17" t="str"/>
      <x:c r="E145" s="17" t="str"/>
      <x:c r="F145" s="17" t="str"/>
      <x:c r="G145" s="17" t="str"/>
      <x:c r="H145" s="17" t="str"/>
      <x:c r="I145" s="18"/>
      <x:c r="J145" s="18"/>
      <x:c r="K145" s="18" t="str">
        <x:f>IF(AND(I145="",J145=""),"",SUM($I$6:I145)-SUM($J$6:J145))</x:f>
      </x:c>
      <x:c r="L145" s="17" t="str">
        <x:f>IF(A145="","",TEXT(A145,"yyyy-mm"))</x:f>
      </x:c>
      <x:c r="M145" s="17" t="str">
        <x:f>IF(A145="","","MOV-"&amp;TEXT(ROW()-5,"0000"))</x:f>
      </x:c>
    </x:row>
    <x:row r="146">
      <x:c r="A146" s="63"/>
      <x:c r="B146" s="17" t="str"/>
      <x:c r="C146" s="17" t="str"/>
      <x:c r="D146" s="17" t="str"/>
      <x:c r="E146" s="17" t="str"/>
      <x:c r="F146" s="17" t="str"/>
      <x:c r="G146" s="17" t="str"/>
      <x:c r="H146" s="17" t="str"/>
      <x:c r="I146" s="18"/>
      <x:c r="J146" s="18"/>
      <x:c r="K146" s="18" t="str">
        <x:f>IF(AND(I146="",J146=""),"",SUM($I$6:I146)-SUM($J$6:J146))</x:f>
      </x:c>
      <x:c r="L146" s="17" t="str">
        <x:f>IF(A146="","",TEXT(A146,"yyyy-mm"))</x:f>
      </x:c>
      <x:c r="M146" s="17" t="str">
        <x:f>IF(A146="","","MOV-"&amp;TEXT(ROW()-5,"0000"))</x:f>
      </x:c>
    </x:row>
    <x:row r="147">
      <x:c r="A147" s="63"/>
      <x:c r="B147" s="17" t="str"/>
      <x:c r="C147" s="17" t="str"/>
      <x:c r="D147" s="17" t="str"/>
      <x:c r="E147" s="17" t="str"/>
      <x:c r="F147" s="17" t="str"/>
      <x:c r="G147" s="17" t="str"/>
      <x:c r="H147" s="17" t="str"/>
      <x:c r="I147" s="18"/>
      <x:c r="J147" s="18"/>
      <x:c r="K147" s="18" t="str">
        <x:f>IF(AND(I147="",J147=""),"",SUM($I$6:I147)-SUM($J$6:J147))</x:f>
      </x:c>
      <x:c r="L147" s="17" t="str">
        <x:f>IF(A147="","",TEXT(A147,"yyyy-mm"))</x:f>
      </x:c>
      <x:c r="M147" s="17" t="str">
        <x:f>IF(A147="","","MOV-"&amp;TEXT(ROW()-5,"0000"))</x:f>
      </x:c>
    </x:row>
    <x:row r="148">
      <x:c r="A148" s="63"/>
      <x:c r="B148" s="17" t="str"/>
      <x:c r="C148" s="17" t="str"/>
      <x:c r="D148" s="17" t="str"/>
      <x:c r="E148" s="17" t="str"/>
      <x:c r="F148" s="17" t="str"/>
      <x:c r="G148" s="17" t="str"/>
      <x:c r="H148" s="17" t="str"/>
      <x:c r="I148" s="18"/>
      <x:c r="J148" s="18"/>
      <x:c r="K148" s="18" t="str">
        <x:f>IF(AND(I148="",J148=""),"",SUM($I$6:I148)-SUM($J$6:J148))</x:f>
      </x:c>
      <x:c r="L148" s="17" t="str">
        <x:f>IF(A148="","",TEXT(A148,"yyyy-mm"))</x:f>
      </x:c>
      <x:c r="M148" s="17" t="str">
        <x:f>IF(A148="","","MOV-"&amp;TEXT(ROW()-5,"0000"))</x:f>
      </x:c>
    </x:row>
    <x:row r="149">
      <x:c r="A149" s="63"/>
      <x:c r="B149" s="17" t="str"/>
      <x:c r="C149" s="17" t="str"/>
      <x:c r="D149" s="17" t="str"/>
      <x:c r="E149" s="17" t="str"/>
      <x:c r="F149" s="17" t="str"/>
      <x:c r="G149" s="17" t="str"/>
      <x:c r="H149" s="17" t="str"/>
      <x:c r="I149" s="18"/>
      <x:c r="J149" s="18"/>
      <x:c r="K149" s="18" t="str">
        <x:f>IF(AND(I149="",J149=""),"",SUM($I$6:I149)-SUM($J$6:J149))</x:f>
      </x:c>
      <x:c r="L149" s="17" t="str">
        <x:f>IF(A149="","",TEXT(A149,"yyyy-mm"))</x:f>
      </x:c>
      <x:c r="M149" s="17" t="str">
        <x:f>IF(A149="","","MOV-"&amp;TEXT(ROW()-5,"0000"))</x:f>
      </x:c>
    </x:row>
    <x:row r="150">
      <x:c r="A150" s="63"/>
      <x:c r="B150" s="17" t="str"/>
      <x:c r="C150" s="17" t="str"/>
      <x:c r="D150" s="17" t="str"/>
      <x:c r="E150" s="17" t="str"/>
      <x:c r="F150" s="17" t="str"/>
      <x:c r="G150" s="17" t="str"/>
      <x:c r="H150" s="17" t="str"/>
      <x:c r="I150" s="18"/>
      <x:c r="J150" s="18"/>
      <x:c r="K150" s="18" t="str">
        <x:f>IF(AND(I150="",J150=""),"",SUM($I$6:I150)-SUM($J$6:J150))</x:f>
      </x:c>
      <x:c r="L150" s="17" t="str">
        <x:f>IF(A150="","",TEXT(A150,"yyyy-mm"))</x:f>
      </x:c>
      <x:c r="M150" s="17" t="str">
        <x:f>IF(A150="","","MOV-"&amp;TEXT(ROW()-5,"0000"))</x:f>
      </x:c>
    </x:row>
    <x:row r="151">
      <x:c r="A151" s="63"/>
      <x:c r="B151" s="17" t="str"/>
      <x:c r="C151" s="17" t="str"/>
      <x:c r="D151" s="17" t="str"/>
      <x:c r="E151" s="17" t="str"/>
      <x:c r="F151" s="17" t="str"/>
      <x:c r="G151" s="17" t="str"/>
      <x:c r="H151" s="17" t="str"/>
      <x:c r="I151" s="18"/>
      <x:c r="J151" s="18"/>
      <x:c r="K151" s="18" t="str">
        <x:f>IF(AND(I151="",J151=""),"",SUM($I$6:I151)-SUM($J$6:J151))</x:f>
      </x:c>
      <x:c r="L151" s="17" t="str">
        <x:f>IF(A151="","",TEXT(A151,"yyyy-mm"))</x:f>
      </x:c>
      <x:c r="M151" s="17" t="str">
        <x:f>IF(A151="","","MOV-"&amp;TEXT(ROW()-5,"0000"))</x:f>
      </x:c>
    </x:row>
    <x:row r="152">
      <x:c r="A152" s="63"/>
      <x:c r="B152" s="17" t="str"/>
      <x:c r="C152" s="17" t="str"/>
      <x:c r="D152" s="17" t="str"/>
      <x:c r="E152" s="17" t="str"/>
      <x:c r="F152" s="17" t="str"/>
      <x:c r="G152" s="17" t="str"/>
      <x:c r="H152" s="17" t="str"/>
      <x:c r="I152" s="18"/>
      <x:c r="J152" s="18"/>
      <x:c r="K152" s="18" t="str">
        <x:f>IF(AND(I152="",J152=""),"",SUM($I$6:I152)-SUM($J$6:J152))</x:f>
      </x:c>
      <x:c r="L152" s="17" t="str">
        <x:f>IF(A152="","",TEXT(A152,"yyyy-mm"))</x:f>
      </x:c>
      <x:c r="M152" s="17" t="str">
        <x:f>IF(A152="","","MOV-"&amp;TEXT(ROW()-5,"0000"))</x:f>
      </x:c>
    </x:row>
    <x:row r="153">
      <x:c r="A153" s="63"/>
      <x:c r="B153" s="17" t="str"/>
      <x:c r="C153" s="17" t="str"/>
      <x:c r="D153" s="17" t="str"/>
      <x:c r="E153" s="17" t="str"/>
      <x:c r="F153" s="17" t="str"/>
      <x:c r="G153" s="17" t="str"/>
      <x:c r="H153" s="17" t="str"/>
      <x:c r="I153" s="18"/>
      <x:c r="J153" s="18"/>
      <x:c r="K153" s="18" t="str">
        <x:f>IF(AND(I153="",J153=""),"",SUM($I$6:I153)-SUM($J$6:J153))</x:f>
      </x:c>
      <x:c r="L153" s="17" t="str">
        <x:f>IF(A153="","",TEXT(A153,"yyyy-mm"))</x:f>
      </x:c>
      <x:c r="M153" s="17" t="str">
        <x:f>IF(A153="","","MOV-"&amp;TEXT(ROW()-5,"0000"))</x:f>
      </x:c>
    </x:row>
    <x:row r="154">
      <x:c r="A154" s="63"/>
      <x:c r="B154" s="17" t="str"/>
      <x:c r="C154" s="17" t="str"/>
      <x:c r="D154" s="17" t="str"/>
      <x:c r="E154" s="17" t="str"/>
      <x:c r="F154" s="17" t="str"/>
      <x:c r="G154" s="17" t="str"/>
      <x:c r="H154" s="17" t="str"/>
      <x:c r="I154" s="18"/>
      <x:c r="J154" s="18"/>
      <x:c r="K154" s="18" t="str">
        <x:f>IF(AND(I154="",J154=""),"",SUM($I$6:I154)-SUM($J$6:J154))</x:f>
      </x:c>
      <x:c r="L154" s="17" t="str">
        <x:f>IF(A154="","",TEXT(A154,"yyyy-mm"))</x:f>
      </x:c>
      <x:c r="M154" s="17" t="str">
        <x:f>IF(A154="","","MOV-"&amp;TEXT(ROW()-5,"0000"))</x:f>
      </x:c>
    </x:row>
    <x:row r="155">
      <x:c r="A155" s="63"/>
      <x:c r="B155" s="17" t="str"/>
      <x:c r="C155" s="17" t="str"/>
      <x:c r="D155" s="17" t="str"/>
      <x:c r="E155" s="17" t="str"/>
      <x:c r="F155" s="17" t="str"/>
      <x:c r="G155" s="17" t="str"/>
      <x:c r="H155" s="17" t="str"/>
      <x:c r="I155" s="18"/>
      <x:c r="J155" s="18"/>
      <x:c r="K155" s="18" t="str">
        <x:f>IF(AND(I155="",J155=""),"",SUM($I$6:I155)-SUM($J$6:J155))</x:f>
      </x:c>
      <x:c r="L155" s="17" t="str">
        <x:f>IF(A155="","",TEXT(A155,"yyyy-mm"))</x:f>
      </x:c>
      <x:c r="M155" s="17" t="str">
        <x:f>IF(A155="","","MOV-"&amp;TEXT(ROW()-5,"0000"))</x:f>
      </x:c>
    </x:row>
    <x:row r="156">
      <x:c r="A156" s="63"/>
      <x:c r="B156" s="17" t="str"/>
      <x:c r="C156" s="17" t="str"/>
      <x:c r="D156" s="17" t="str"/>
      <x:c r="E156" s="17" t="str"/>
      <x:c r="F156" s="17" t="str"/>
      <x:c r="G156" s="17" t="str"/>
      <x:c r="H156" s="17" t="str"/>
      <x:c r="I156" s="18"/>
      <x:c r="J156" s="18"/>
      <x:c r="K156" s="18" t="str">
        <x:f>IF(AND(I156="",J156=""),"",SUM($I$6:I156)-SUM($J$6:J156))</x:f>
      </x:c>
      <x:c r="L156" s="17" t="str">
        <x:f>IF(A156="","",TEXT(A156,"yyyy-mm"))</x:f>
      </x:c>
      <x:c r="M156" s="17" t="str">
        <x:f>IF(A156="","","MOV-"&amp;TEXT(ROW()-5,"0000"))</x:f>
      </x:c>
    </x:row>
    <x:row r="157">
      <x:c r="A157" s="63"/>
      <x:c r="B157" s="17" t="str"/>
      <x:c r="C157" s="17" t="str"/>
      <x:c r="D157" s="17" t="str"/>
      <x:c r="E157" s="17" t="str"/>
      <x:c r="F157" s="17" t="str"/>
      <x:c r="G157" s="17" t="str"/>
      <x:c r="H157" s="17" t="str"/>
      <x:c r="I157" s="18"/>
      <x:c r="J157" s="18"/>
      <x:c r="K157" s="18" t="str">
        <x:f>IF(AND(I157="",J157=""),"",SUM($I$6:I157)-SUM($J$6:J157))</x:f>
      </x:c>
      <x:c r="L157" s="17" t="str">
        <x:f>IF(A157="","",TEXT(A157,"yyyy-mm"))</x:f>
      </x:c>
      <x:c r="M157" s="17" t="str">
        <x:f>IF(A157="","","MOV-"&amp;TEXT(ROW()-5,"0000"))</x:f>
      </x:c>
    </x:row>
    <x:row r="158">
      <x:c r="A158" s="63"/>
      <x:c r="B158" s="17" t="str"/>
      <x:c r="C158" s="17" t="str"/>
      <x:c r="D158" s="17" t="str"/>
      <x:c r="E158" s="17" t="str"/>
      <x:c r="F158" s="17" t="str"/>
      <x:c r="G158" s="17" t="str"/>
      <x:c r="H158" s="17" t="str"/>
      <x:c r="I158" s="18"/>
      <x:c r="J158" s="18"/>
      <x:c r="K158" s="18" t="str">
        <x:f>IF(AND(I158="",J158=""),"",SUM($I$6:I158)-SUM($J$6:J158))</x:f>
      </x:c>
      <x:c r="L158" s="17" t="str">
        <x:f>IF(A158="","",TEXT(A158,"yyyy-mm"))</x:f>
      </x:c>
      <x:c r="M158" s="17" t="str">
        <x:f>IF(A158="","","MOV-"&amp;TEXT(ROW()-5,"0000"))</x:f>
      </x:c>
    </x:row>
    <x:row r="159">
      <x:c r="A159" s="63"/>
      <x:c r="B159" s="17" t="str"/>
      <x:c r="C159" s="17" t="str"/>
      <x:c r="D159" s="17" t="str"/>
      <x:c r="E159" s="17" t="str"/>
      <x:c r="F159" s="17" t="str"/>
      <x:c r="G159" s="17" t="str"/>
      <x:c r="H159" s="17" t="str"/>
      <x:c r="I159" s="18"/>
      <x:c r="J159" s="18"/>
      <x:c r="K159" s="18" t="str">
        <x:f>IF(AND(I159="",J159=""),"",SUM($I$6:I159)-SUM($J$6:J159))</x:f>
      </x:c>
      <x:c r="L159" s="17" t="str">
        <x:f>IF(A159="","",TEXT(A159,"yyyy-mm"))</x:f>
      </x:c>
      <x:c r="M159" s="17" t="str">
        <x:f>IF(A159="","","MOV-"&amp;TEXT(ROW()-5,"0000"))</x:f>
      </x:c>
    </x:row>
    <x:row r="160">
      <x:c r="A160" s="63"/>
      <x:c r="B160" s="17" t="str"/>
      <x:c r="C160" s="17" t="str"/>
      <x:c r="D160" s="17" t="str"/>
      <x:c r="E160" s="17" t="str"/>
      <x:c r="F160" s="17" t="str"/>
      <x:c r="G160" s="17" t="str"/>
      <x:c r="H160" s="17" t="str"/>
      <x:c r="I160" s="18"/>
      <x:c r="J160" s="18"/>
      <x:c r="K160" s="18" t="str">
        <x:f>IF(AND(I160="",J160=""),"",SUM($I$6:I160)-SUM($J$6:J160))</x:f>
      </x:c>
      <x:c r="L160" s="17" t="str">
        <x:f>IF(A160="","",TEXT(A160,"yyyy-mm"))</x:f>
      </x:c>
      <x:c r="M160" s="17" t="str">
        <x:f>IF(A160="","","MOV-"&amp;TEXT(ROW()-5,"0000"))</x:f>
      </x:c>
    </x:row>
    <x:row r="161">
      <x:c r="A161" s="63"/>
      <x:c r="B161" s="17" t="str"/>
      <x:c r="C161" s="17" t="str"/>
      <x:c r="D161" s="17" t="str"/>
      <x:c r="E161" s="17" t="str"/>
      <x:c r="F161" s="17" t="str"/>
      <x:c r="G161" s="17" t="str"/>
      <x:c r="H161" s="17" t="str"/>
      <x:c r="I161" s="18"/>
      <x:c r="J161" s="18"/>
      <x:c r="K161" s="18" t="str">
        <x:f>IF(AND(I161="",J161=""),"",SUM($I$6:I161)-SUM($J$6:J161))</x:f>
      </x:c>
      <x:c r="L161" s="17" t="str">
        <x:f>IF(A161="","",TEXT(A161,"yyyy-mm"))</x:f>
      </x:c>
      <x:c r="M161" s="17" t="str">
        <x:f>IF(A161="","","MOV-"&amp;TEXT(ROW()-5,"0000"))</x:f>
      </x:c>
    </x:row>
    <x:row r="162">
      <x:c r="A162" s="63"/>
      <x:c r="B162" s="17" t="str"/>
      <x:c r="C162" s="17" t="str"/>
      <x:c r="D162" s="17" t="str"/>
      <x:c r="E162" s="17" t="str"/>
      <x:c r="F162" s="17" t="str"/>
      <x:c r="G162" s="17" t="str"/>
      <x:c r="H162" s="17" t="str"/>
      <x:c r="I162" s="18"/>
      <x:c r="J162" s="18"/>
      <x:c r="K162" s="18" t="str">
        <x:f>IF(AND(I162="",J162=""),"",SUM($I$6:I162)-SUM($J$6:J162))</x:f>
      </x:c>
      <x:c r="L162" s="17" t="str">
        <x:f>IF(A162="","",TEXT(A162,"yyyy-mm"))</x:f>
      </x:c>
      <x:c r="M162" s="17" t="str">
        <x:f>IF(A162="","","MOV-"&amp;TEXT(ROW()-5,"0000"))</x:f>
      </x:c>
    </x:row>
    <x:row r="163">
      <x:c r="A163" s="63"/>
      <x:c r="B163" s="17" t="str"/>
      <x:c r="C163" s="17" t="str"/>
      <x:c r="D163" s="17" t="str"/>
      <x:c r="E163" s="17" t="str"/>
      <x:c r="F163" s="17" t="str"/>
      <x:c r="G163" s="17" t="str"/>
      <x:c r="H163" s="17" t="str"/>
      <x:c r="I163" s="18"/>
      <x:c r="J163" s="18"/>
      <x:c r="K163" s="18" t="str">
        <x:f>IF(AND(I163="",J163=""),"",SUM($I$6:I163)-SUM($J$6:J163))</x:f>
      </x:c>
      <x:c r="L163" s="17" t="str">
        <x:f>IF(A163="","",TEXT(A163,"yyyy-mm"))</x:f>
      </x:c>
      <x:c r="M163" s="17" t="str">
        <x:f>IF(A163="","","MOV-"&amp;TEXT(ROW()-5,"0000"))</x:f>
      </x:c>
    </x:row>
    <x:row r="164">
      <x:c r="A164" s="63"/>
      <x:c r="B164" s="17" t="str"/>
      <x:c r="C164" s="17" t="str"/>
      <x:c r="D164" s="17" t="str"/>
      <x:c r="E164" s="17" t="str"/>
      <x:c r="F164" s="17" t="str"/>
      <x:c r="G164" s="17" t="str"/>
      <x:c r="H164" s="17" t="str"/>
      <x:c r="I164" s="18"/>
      <x:c r="J164" s="18"/>
      <x:c r="K164" s="18" t="str">
        <x:f>IF(AND(I164="",J164=""),"",SUM($I$6:I164)-SUM($J$6:J164))</x:f>
      </x:c>
      <x:c r="L164" s="17" t="str">
        <x:f>IF(A164="","",TEXT(A164,"yyyy-mm"))</x:f>
      </x:c>
      <x:c r="M164" s="17" t="str">
        <x:f>IF(A164="","","MOV-"&amp;TEXT(ROW()-5,"0000"))</x:f>
      </x:c>
    </x:row>
    <x:row r="165">
      <x:c r="A165" s="63"/>
      <x:c r="B165" s="17" t="str"/>
      <x:c r="C165" s="17" t="str"/>
      <x:c r="D165" s="17" t="str"/>
      <x:c r="E165" s="17" t="str"/>
      <x:c r="F165" s="17" t="str"/>
      <x:c r="G165" s="17" t="str"/>
      <x:c r="H165" s="17" t="str"/>
      <x:c r="I165" s="18"/>
      <x:c r="J165" s="18"/>
      <x:c r="K165" s="18" t="str">
        <x:f>IF(AND(I165="",J165=""),"",SUM($I$6:I165)-SUM($J$6:J165))</x:f>
      </x:c>
      <x:c r="L165" s="17" t="str">
        <x:f>IF(A165="","",TEXT(A165,"yyyy-mm"))</x:f>
      </x:c>
      <x:c r="M165" s="17" t="str">
        <x:f>IF(A165="","","MOV-"&amp;TEXT(ROW()-5,"0000"))</x:f>
      </x:c>
    </x:row>
    <x:row r="166">
      <x:c r="A166" s="63"/>
      <x:c r="B166" s="17" t="str"/>
      <x:c r="C166" s="17" t="str"/>
      <x:c r="D166" s="17" t="str"/>
      <x:c r="E166" s="17" t="str"/>
      <x:c r="F166" s="17" t="str"/>
      <x:c r="G166" s="17" t="str"/>
      <x:c r="H166" s="17" t="str"/>
      <x:c r="I166" s="18"/>
      <x:c r="J166" s="18"/>
      <x:c r="K166" s="18" t="str">
        <x:f>IF(AND(I166="",J166=""),"",SUM($I$6:I166)-SUM($J$6:J166))</x:f>
      </x:c>
      <x:c r="L166" s="17" t="str">
        <x:f>IF(A166="","",TEXT(A166,"yyyy-mm"))</x:f>
      </x:c>
      <x:c r="M166" s="17" t="str">
        <x:f>IF(A166="","","MOV-"&amp;TEXT(ROW()-5,"0000"))</x:f>
      </x:c>
    </x:row>
    <x:row r="167">
      <x:c r="A167" s="63"/>
      <x:c r="B167" s="17" t="str"/>
      <x:c r="C167" s="17" t="str"/>
      <x:c r="D167" s="17" t="str"/>
      <x:c r="E167" s="17" t="str"/>
      <x:c r="F167" s="17" t="str"/>
      <x:c r="G167" s="17" t="str"/>
      <x:c r="H167" s="17" t="str"/>
      <x:c r="I167" s="18"/>
      <x:c r="J167" s="18"/>
      <x:c r="K167" s="18" t="str">
        <x:f>IF(AND(I167="",J167=""),"",SUM($I$6:I167)-SUM($J$6:J167))</x:f>
      </x:c>
      <x:c r="L167" s="17" t="str">
        <x:f>IF(A167="","",TEXT(A167,"yyyy-mm"))</x:f>
      </x:c>
      <x:c r="M167" s="17" t="str">
        <x:f>IF(A167="","","MOV-"&amp;TEXT(ROW()-5,"0000"))</x:f>
      </x:c>
    </x:row>
    <x:row r="168">
      <x:c r="A168" s="63"/>
      <x:c r="B168" s="17" t="str"/>
      <x:c r="C168" s="17" t="str"/>
      <x:c r="D168" s="17" t="str"/>
      <x:c r="E168" s="17" t="str"/>
      <x:c r="F168" s="17" t="str"/>
      <x:c r="G168" s="17" t="str"/>
      <x:c r="H168" s="17" t="str"/>
      <x:c r="I168" s="18"/>
      <x:c r="J168" s="18"/>
      <x:c r="K168" s="18" t="str">
        <x:f>IF(AND(I168="",J168=""),"",SUM($I$6:I168)-SUM($J$6:J168))</x:f>
      </x:c>
      <x:c r="L168" s="17" t="str">
        <x:f>IF(A168="","",TEXT(A168,"yyyy-mm"))</x:f>
      </x:c>
      <x:c r="M168" s="17" t="str">
        <x:f>IF(A168="","","MOV-"&amp;TEXT(ROW()-5,"0000"))</x:f>
      </x:c>
    </x:row>
    <x:row r="169">
      <x:c r="A169" s="63"/>
      <x:c r="B169" s="17" t="str"/>
      <x:c r="C169" s="17" t="str"/>
      <x:c r="D169" s="17" t="str"/>
      <x:c r="E169" s="17" t="str"/>
      <x:c r="F169" s="17" t="str"/>
      <x:c r="G169" s="17" t="str"/>
      <x:c r="H169" s="17" t="str"/>
      <x:c r="I169" s="18"/>
      <x:c r="J169" s="18"/>
      <x:c r="K169" s="18" t="str">
        <x:f>IF(AND(I169="",J169=""),"",SUM($I$6:I169)-SUM($J$6:J169))</x:f>
      </x:c>
      <x:c r="L169" s="17" t="str">
        <x:f>IF(A169="","",TEXT(A169,"yyyy-mm"))</x:f>
      </x:c>
      <x:c r="M169" s="17" t="str">
        <x:f>IF(A169="","","MOV-"&amp;TEXT(ROW()-5,"0000"))</x:f>
      </x:c>
    </x:row>
    <x:row r="170">
      <x:c r="A170" s="63"/>
      <x:c r="B170" s="17" t="str"/>
      <x:c r="C170" s="17" t="str"/>
      <x:c r="D170" s="17" t="str"/>
      <x:c r="E170" s="17" t="str"/>
      <x:c r="F170" s="17" t="str"/>
      <x:c r="G170" s="17" t="str"/>
      <x:c r="H170" s="17" t="str"/>
      <x:c r="I170" s="18"/>
      <x:c r="J170" s="18"/>
      <x:c r="K170" s="18" t="str">
        <x:f>IF(AND(I170="",J170=""),"",SUM($I$6:I170)-SUM($J$6:J170))</x:f>
      </x:c>
      <x:c r="L170" s="17" t="str">
        <x:f>IF(A170="","",TEXT(A170,"yyyy-mm"))</x:f>
      </x:c>
      <x:c r="M170" s="17" t="str">
        <x:f>IF(A170="","","MOV-"&amp;TEXT(ROW()-5,"0000"))</x:f>
      </x:c>
    </x:row>
    <x:row r="171">
      <x:c r="A171" s="63"/>
      <x:c r="B171" s="17" t="str"/>
      <x:c r="C171" s="17" t="str"/>
      <x:c r="D171" s="17" t="str"/>
      <x:c r="E171" s="17" t="str"/>
      <x:c r="F171" s="17" t="str"/>
      <x:c r="G171" s="17" t="str"/>
      <x:c r="H171" s="17" t="str"/>
      <x:c r="I171" s="18"/>
      <x:c r="J171" s="18"/>
      <x:c r="K171" s="18" t="str">
        <x:f>IF(AND(I171="",J171=""),"",SUM($I$6:I171)-SUM($J$6:J171))</x:f>
      </x:c>
      <x:c r="L171" s="17" t="str">
        <x:f>IF(A171="","",TEXT(A171,"yyyy-mm"))</x:f>
      </x:c>
      <x:c r="M171" s="17" t="str">
        <x:f>IF(A171="","","MOV-"&amp;TEXT(ROW()-5,"0000"))</x:f>
      </x:c>
    </x:row>
    <x:row r="172">
      <x:c r="A172" s="63"/>
      <x:c r="B172" s="17" t="str"/>
      <x:c r="C172" s="17" t="str"/>
      <x:c r="D172" s="17" t="str"/>
      <x:c r="E172" s="17" t="str"/>
      <x:c r="F172" s="17" t="str"/>
      <x:c r="G172" s="17" t="str"/>
      <x:c r="H172" s="17" t="str"/>
      <x:c r="I172" s="18"/>
      <x:c r="J172" s="18"/>
      <x:c r="K172" s="18" t="str">
        <x:f>IF(AND(I172="",J172=""),"",SUM($I$6:I172)-SUM($J$6:J172))</x:f>
      </x:c>
      <x:c r="L172" s="17" t="str">
        <x:f>IF(A172="","",TEXT(A172,"yyyy-mm"))</x:f>
      </x:c>
      <x:c r="M172" s="17" t="str">
        <x:f>IF(A172="","","MOV-"&amp;TEXT(ROW()-5,"0000"))</x:f>
      </x:c>
    </x:row>
    <x:row r="173">
      <x:c r="A173" s="63"/>
      <x:c r="B173" s="17" t="str"/>
      <x:c r="C173" s="17" t="str"/>
      <x:c r="D173" s="17" t="str"/>
      <x:c r="E173" s="17" t="str"/>
      <x:c r="F173" s="17" t="str"/>
      <x:c r="G173" s="17" t="str"/>
      <x:c r="H173" s="17" t="str"/>
      <x:c r="I173" s="18"/>
      <x:c r="J173" s="18"/>
      <x:c r="K173" s="18" t="str">
        <x:f>IF(AND(I173="",J173=""),"",SUM($I$6:I173)-SUM($J$6:J173))</x:f>
      </x:c>
      <x:c r="L173" s="17" t="str">
        <x:f>IF(A173="","",TEXT(A173,"yyyy-mm"))</x:f>
      </x:c>
      <x:c r="M173" s="17" t="str">
        <x:f>IF(A173="","","MOV-"&amp;TEXT(ROW()-5,"0000"))</x:f>
      </x:c>
    </x:row>
    <x:row r="174">
      <x:c r="A174" s="63"/>
      <x:c r="B174" s="17" t="str"/>
      <x:c r="C174" s="17" t="str"/>
      <x:c r="D174" s="17" t="str"/>
      <x:c r="E174" s="17" t="str"/>
      <x:c r="F174" s="17" t="str"/>
      <x:c r="G174" s="17" t="str"/>
      <x:c r="H174" s="17" t="str"/>
      <x:c r="I174" s="18"/>
      <x:c r="J174" s="18"/>
      <x:c r="K174" s="18" t="str">
        <x:f>IF(AND(I174="",J174=""),"",SUM($I$6:I174)-SUM($J$6:J174))</x:f>
      </x:c>
      <x:c r="L174" s="17" t="str">
        <x:f>IF(A174="","",TEXT(A174,"yyyy-mm"))</x:f>
      </x:c>
      <x:c r="M174" s="17" t="str">
        <x:f>IF(A174="","","MOV-"&amp;TEXT(ROW()-5,"0000"))</x:f>
      </x:c>
    </x:row>
    <x:row r="175">
      <x:c r="A175" s="63"/>
      <x:c r="B175" s="17" t="str"/>
      <x:c r="C175" s="17" t="str"/>
      <x:c r="D175" s="17" t="str"/>
      <x:c r="E175" s="17" t="str"/>
      <x:c r="F175" s="17" t="str"/>
      <x:c r="G175" s="17" t="str"/>
      <x:c r="H175" s="17" t="str"/>
      <x:c r="I175" s="18"/>
      <x:c r="J175" s="18"/>
      <x:c r="K175" s="18" t="str">
        <x:f>IF(AND(I175="",J175=""),"",SUM($I$6:I175)-SUM($J$6:J175))</x:f>
      </x:c>
      <x:c r="L175" s="17" t="str">
        <x:f>IF(A175="","",TEXT(A175,"yyyy-mm"))</x:f>
      </x:c>
      <x:c r="M175" s="17" t="str">
        <x:f>IF(A175="","","MOV-"&amp;TEXT(ROW()-5,"0000"))</x:f>
      </x:c>
    </x:row>
    <x:row r="176">
      <x:c r="A176" s="63"/>
      <x:c r="B176" s="17" t="str"/>
      <x:c r="C176" s="17" t="str"/>
      <x:c r="D176" s="17" t="str"/>
      <x:c r="E176" s="17" t="str"/>
      <x:c r="F176" s="17" t="str"/>
      <x:c r="G176" s="17" t="str"/>
      <x:c r="H176" s="17" t="str"/>
      <x:c r="I176" s="18"/>
      <x:c r="J176" s="18"/>
      <x:c r="K176" s="18" t="str">
        <x:f>IF(AND(I176="",J176=""),"",SUM($I$6:I176)-SUM($J$6:J176))</x:f>
      </x:c>
      <x:c r="L176" s="17" t="str">
        <x:f>IF(A176="","",TEXT(A176,"yyyy-mm"))</x:f>
      </x:c>
      <x:c r="M176" s="17" t="str">
        <x:f>IF(A176="","","MOV-"&amp;TEXT(ROW()-5,"0000"))</x:f>
      </x:c>
    </x:row>
    <x:row r="177">
      <x:c r="A177" s="63"/>
      <x:c r="B177" s="17" t="str"/>
      <x:c r="C177" s="17" t="str"/>
      <x:c r="D177" s="17" t="str"/>
      <x:c r="E177" s="17" t="str"/>
      <x:c r="F177" s="17" t="str"/>
      <x:c r="G177" s="17" t="str"/>
      <x:c r="H177" s="17" t="str"/>
      <x:c r="I177" s="18"/>
      <x:c r="J177" s="18"/>
      <x:c r="K177" s="18" t="str">
        <x:f>IF(AND(I177="",J177=""),"",SUM($I$6:I177)-SUM($J$6:J177))</x:f>
      </x:c>
      <x:c r="L177" s="17" t="str">
        <x:f>IF(A177="","",TEXT(A177,"yyyy-mm"))</x:f>
      </x:c>
      <x:c r="M177" s="17" t="str">
        <x:f>IF(A177="","","MOV-"&amp;TEXT(ROW()-5,"0000"))</x:f>
      </x:c>
    </x:row>
    <x:row r="178">
      <x:c r="A178" s="63"/>
      <x:c r="B178" s="17" t="str"/>
      <x:c r="C178" s="17" t="str"/>
      <x:c r="D178" s="17" t="str"/>
      <x:c r="E178" s="17" t="str"/>
      <x:c r="F178" s="17" t="str"/>
      <x:c r="G178" s="17" t="str"/>
      <x:c r="H178" s="17" t="str"/>
      <x:c r="I178" s="18"/>
      <x:c r="J178" s="18"/>
      <x:c r="K178" s="18" t="str">
        <x:f>IF(AND(I178="",J178=""),"",SUM($I$6:I178)-SUM($J$6:J178))</x:f>
      </x:c>
      <x:c r="L178" s="17" t="str">
        <x:f>IF(A178="","",TEXT(A178,"yyyy-mm"))</x:f>
      </x:c>
      <x:c r="M178" s="17" t="str">
        <x:f>IF(A178="","","MOV-"&amp;TEXT(ROW()-5,"0000"))</x:f>
      </x:c>
    </x:row>
    <x:row r="179">
      <x:c r="A179" s="63"/>
      <x:c r="B179" s="17" t="str"/>
      <x:c r="C179" s="17" t="str"/>
      <x:c r="D179" s="17" t="str"/>
      <x:c r="E179" s="17" t="str"/>
      <x:c r="F179" s="17" t="str"/>
      <x:c r="G179" s="17" t="str"/>
      <x:c r="H179" s="17" t="str"/>
      <x:c r="I179" s="18"/>
      <x:c r="J179" s="18"/>
      <x:c r="K179" s="18" t="str">
        <x:f>IF(AND(I179="",J179=""),"",SUM($I$6:I179)-SUM($J$6:J179))</x:f>
      </x:c>
      <x:c r="L179" s="17" t="str">
        <x:f>IF(A179="","",TEXT(A179,"yyyy-mm"))</x:f>
      </x:c>
      <x:c r="M179" s="17" t="str">
        <x:f>IF(A179="","","MOV-"&amp;TEXT(ROW()-5,"0000"))</x:f>
      </x:c>
    </x:row>
    <x:row r="180">
      <x:c r="A180" s="63"/>
      <x:c r="B180" s="17" t="str"/>
      <x:c r="C180" s="17" t="str"/>
      <x:c r="D180" s="17" t="str"/>
      <x:c r="E180" s="17" t="str"/>
      <x:c r="F180" s="17" t="str"/>
      <x:c r="G180" s="17" t="str"/>
      <x:c r="H180" s="17" t="str"/>
      <x:c r="I180" s="18"/>
      <x:c r="J180" s="18"/>
      <x:c r="K180" s="18" t="str">
        <x:f>IF(AND(I180="",J180=""),"",SUM($I$6:I180)-SUM($J$6:J180))</x:f>
      </x:c>
      <x:c r="L180" s="17" t="str">
        <x:f>IF(A180="","",TEXT(A180,"yyyy-mm"))</x:f>
      </x:c>
      <x:c r="M180" s="17" t="str">
        <x:f>IF(A180="","","MOV-"&amp;TEXT(ROW()-5,"0000"))</x:f>
      </x:c>
    </x:row>
    <x:row r="181">
      <x:c r="A181" s="63"/>
      <x:c r="B181" s="17" t="str"/>
      <x:c r="C181" s="17" t="str"/>
      <x:c r="D181" s="17" t="str"/>
      <x:c r="E181" s="17" t="str"/>
      <x:c r="F181" s="17" t="str"/>
      <x:c r="G181" s="17" t="str"/>
      <x:c r="H181" s="17" t="str"/>
      <x:c r="I181" s="18"/>
      <x:c r="J181" s="18"/>
      <x:c r="K181" s="18" t="str">
        <x:f>IF(AND(I181="",J181=""),"",SUM($I$6:I181)-SUM($J$6:J181))</x:f>
      </x:c>
      <x:c r="L181" s="17" t="str">
        <x:f>IF(A181="","",TEXT(A181,"yyyy-mm"))</x:f>
      </x:c>
      <x:c r="M181" s="17" t="str">
        <x:f>IF(A181="","","MOV-"&amp;TEXT(ROW()-5,"0000"))</x:f>
      </x:c>
    </x:row>
    <x:row r="182">
      <x:c r="A182" s="63"/>
      <x:c r="B182" s="17" t="str"/>
      <x:c r="C182" s="17" t="str"/>
      <x:c r="D182" s="17" t="str"/>
      <x:c r="E182" s="17" t="str"/>
      <x:c r="F182" s="17" t="str"/>
      <x:c r="G182" s="17" t="str"/>
      <x:c r="H182" s="17" t="str"/>
      <x:c r="I182" s="18"/>
      <x:c r="J182" s="18"/>
      <x:c r="K182" s="18" t="str">
        <x:f>IF(AND(I182="",J182=""),"",SUM($I$6:I182)-SUM($J$6:J182))</x:f>
      </x:c>
      <x:c r="L182" s="17" t="str">
        <x:f>IF(A182="","",TEXT(A182,"yyyy-mm"))</x:f>
      </x:c>
      <x:c r="M182" s="17" t="str">
        <x:f>IF(A182="","","MOV-"&amp;TEXT(ROW()-5,"0000"))</x:f>
      </x:c>
    </x:row>
    <x:row r="183">
      <x:c r="A183" s="63"/>
      <x:c r="B183" s="17" t="str"/>
      <x:c r="C183" s="17" t="str"/>
      <x:c r="D183" s="17" t="str"/>
      <x:c r="E183" s="17" t="str"/>
      <x:c r="F183" s="17" t="str"/>
      <x:c r="G183" s="17" t="str"/>
      <x:c r="H183" s="17" t="str"/>
      <x:c r="I183" s="18"/>
      <x:c r="J183" s="18"/>
      <x:c r="K183" s="18" t="str">
        <x:f>IF(AND(I183="",J183=""),"",SUM($I$6:I183)-SUM($J$6:J183))</x:f>
      </x:c>
      <x:c r="L183" s="17" t="str">
        <x:f>IF(A183="","",TEXT(A183,"yyyy-mm"))</x:f>
      </x:c>
      <x:c r="M183" s="17" t="str">
        <x:f>IF(A183="","","MOV-"&amp;TEXT(ROW()-5,"0000"))</x:f>
      </x:c>
    </x:row>
    <x:row r="184">
      <x:c r="A184" s="63"/>
      <x:c r="B184" s="17" t="str"/>
      <x:c r="C184" s="17" t="str"/>
      <x:c r="D184" s="17" t="str"/>
      <x:c r="E184" s="17" t="str"/>
      <x:c r="F184" s="17" t="str"/>
      <x:c r="G184" s="17" t="str"/>
      <x:c r="H184" s="17" t="str"/>
      <x:c r="I184" s="18"/>
      <x:c r="J184" s="18"/>
      <x:c r="K184" s="18" t="str">
        <x:f>IF(AND(I184="",J184=""),"",SUM($I$6:I184)-SUM($J$6:J184))</x:f>
      </x:c>
      <x:c r="L184" s="17" t="str">
        <x:f>IF(A184="","",TEXT(A184,"yyyy-mm"))</x:f>
      </x:c>
      <x:c r="M184" s="17" t="str">
        <x:f>IF(A184="","","MOV-"&amp;TEXT(ROW()-5,"0000"))</x:f>
      </x:c>
    </x:row>
    <x:row r="185">
      <x:c r="A185" s="63"/>
      <x:c r="B185" s="17" t="str"/>
      <x:c r="C185" s="17" t="str"/>
      <x:c r="D185" s="17" t="str"/>
      <x:c r="E185" s="17" t="str"/>
      <x:c r="F185" s="17" t="str"/>
      <x:c r="G185" s="17" t="str"/>
      <x:c r="H185" s="17" t="str"/>
      <x:c r="I185" s="18"/>
      <x:c r="J185" s="18"/>
      <x:c r="K185" s="18" t="str">
        <x:f>IF(AND(I185="",J185=""),"",SUM($I$6:I185)-SUM($J$6:J185))</x:f>
      </x:c>
      <x:c r="L185" s="17" t="str">
        <x:f>IF(A185="","",TEXT(A185,"yyyy-mm"))</x:f>
      </x:c>
      <x:c r="M185" s="17" t="str">
        <x:f>IF(A185="","","MOV-"&amp;TEXT(ROW()-5,"0000"))</x:f>
      </x:c>
    </x:row>
    <x:row r="186">
      <x:c r="A186" s="63"/>
      <x:c r="B186" s="17" t="str"/>
      <x:c r="C186" s="17" t="str"/>
      <x:c r="D186" s="17" t="str"/>
      <x:c r="E186" s="17" t="str"/>
      <x:c r="F186" s="17" t="str"/>
      <x:c r="G186" s="17" t="str"/>
      <x:c r="H186" s="17" t="str"/>
      <x:c r="I186" s="18"/>
      <x:c r="J186" s="18"/>
      <x:c r="K186" s="18" t="str">
        <x:f>IF(AND(I186="",J186=""),"",SUM($I$6:I186)-SUM($J$6:J186))</x:f>
      </x:c>
      <x:c r="L186" s="17" t="str">
        <x:f>IF(A186="","",TEXT(A186,"yyyy-mm"))</x:f>
      </x:c>
      <x:c r="M186" s="17" t="str">
        <x:f>IF(A186="","","MOV-"&amp;TEXT(ROW()-5,"0000"))</x:f>
      </x:c>
    </x:row>
    <x:row r="187">
      <x:c r="A187" s="63"/>
      <x:c r="B187" s="17" t="str"/>
      <x:c r="C187" s="17" t="str"/>
      <x:c r="D187" s="17" t="str"/>
      <x:c r="E187" s="17" t="str"/>
      <x:c r="F187" s="17" t="str"/>
      <x:c r="G187" s="17" t="str"/>
      <x:c r="H187" s="17" t="str"/>
      <x:c r="I187" s="18"/>
      <x:c r="J187" s="18"/>
      <x:c r="K187" s="18" t="str">
        <x:f>IF(AND(I187="",J187=""),"",SUM($I$6:I187)-SUM($J$6:J187))</x:f>
      </x:c>
      <x:c r="L187" s="17" t="str">
        <x:f>IF(A187="","",TEXT(A187,"yyyy-mm"))</x:f>
      </x:c>
      <x:c r="M187" s="17" t="str">
        <x:f>IF(A187="","","MOV-"&amp;TEXT(ROW()-5,"0000"))</x:f>
      </x:c>
    </x:row>
    <x:row r="188">
      <x:c r="A188" s="63"/>
      <x:c r="B188" s="17" t="str"/>
      <x:c r="C188" s="17" t="str"/>
      <x:c r="D188" s="17" t="str"/>
      <x:c r="E188" s="17" t="str"/>
      <x:c r="F188" s="17" t="str"/>
      <x:c r="G188" s="17" t="str"/>
      <x:c r="H188" s="17" t="str"/>
      <x:c r="I188" s="18"/>
      <x:c r="J188" s="18"/>
      <x:c r="K188" s="18" t="str">
        <x:f>IF(AND(I188="",J188=""),"",SUM($I$6:I188)-SUM($J$6:J188))</x:f>
      </x:c>
      <x:c r="L188" s="17" t="str">
        <x:f>IF(A188="","",TEXT(A188,"yyyy-mm"))</x:f>
      </x:c>
      <x:c r="M188" s="17" t="str">
        <x:f>IF(A188="","","MOV-"&amp;TEXT(ROW()-5,"0000"))</x:f>
      </x:c>
    </x:row>
    <x:row r="189">
      <x:c r="A189" s="63"/>
      <x:c r="B189" s="17" t="str"/>
      <x:c r="C189" s="17" t="str"/>
      <x:c r="D189" s="17" t="str"/>
      <x:c r="E189" s="17" t="str"/>
      <x:c r="F189" s="17" t="str"/>
      <x:c r="G189" s="17" t="str"/>
      <x:c r="H189" s="17" t="str"/>
      <x:c r="I189" s="18"/>
      <x:c r="J189" s="18"/>
      <x:c r="K189" s="18" t="str">
        <x:f>IF(AND(I189="",J189=""),"",SUM($I$6:I189)-SUM($J$6:J189))</x:f>
      </x:c>
      <x:c r="L189" s="17" t="str">
        <x:f>IF(A189="","",TEXT(A189,"yyyy-mm"))</x:f>
      </x:c>
      <x:c r="M189" s="17" t="str">
        <x:f>IF(A189="","","MOV-"&amp;TEXT(ROW()-5,"0000"))</x:f>
      </x:c>
    </x:row>
    <x:row r="190">
      <x:c r="A190" s="63"/>
      <x:c r="B190" s="17" t="str"/>
      <x:c r="C190" s="17" t="str"/>
      <x:c r="D190" s="17" t="str"/>
      <x:c r="E190" s="17" t="str"/>
      <x:c r="F190" s="17" t="str"/>
      <x:c r="G190" s="17" t="str"/>
      <x:c r="H190" s="17" t="str"/>
      <x:c r="I190" s="18"/>
      <x:c r="J190" s="18"/>
      <x:c r="K190" s="18" t="str">
        <x:f>IF(AND(I190="",J190=""),"",SUM($I$6:I190)-SUM($J$6:J190))</x:f>
      </x:c>
      <x:c r="L190" s="17" t="str">
        <x:f>IF(A190="","",TEXT(A190,"yyyy-mm"))</x:f>
      </x:c>
      <x:c r="M190" s="17" t="str">
        <x:f>IF(A190="","","MOV-"&amp;TEXT(ROW()-5,"0000"))</x:f>
      </x:c>
    </x:row>
    <x:row r="191">
      <x:c r="A191" s="63"/>
      <x:c r="B191" s="17" t="str"/>
      <x:c r="C191" s="17" t="str"/>
      <x:c r="D191" s="17" t="str"/>
      <x:c r="E191" s="17" t="str"/>
      <x:c r="F191" s="17" t="str"/>
      <x:c r="G191" s="17" t="str"/>
      <x:c r="H191" s="17" t="str"/>
      <x:c r="I191" s="18"/>
      <x:c r="J191" s="18"/>
      <x:c r="K191" s="18" t="str">
        <x:f>IF(AND(I191="",J191=""),"",SUM($I$6:I191)-SUM($J$6:J191))</x:f>
      </x:c>
      <x:c r="L191" s="17" t="str">
        <x:f>IF(A191="","",TEXT(A191,"yyyy-mm"))</x:f>
      </x:c>
      <x:c r="M191" s="17" t="str">
        <x:f>IF(A191="","","MOV-"&amp;TEXT(ROW()-5,"0000"))</x:f>
      </x:c>
    </x:row>
    <x:row r="192">
      <x:c r="A192" s="63"/>
      <x:c r="B192" s="17" t="str"/>
      <x:c r="C192" s="17" t="str"/>
      <x:c r="D192" s="17" t="str"/>
      <x:c r="E192" s="17" t="str"/>
      <x:c r="F192" s="17" t="str"/>
      <x:c r="G192" s="17" t="str"/>
      <x:c r="H192" s="17" t="str"/>
      <x:c r="I192" s="18"/>
      <x:c r="J192" s="18"/>
      <x:c r="K192" s="18" t="str">
        <x:f>IF(AND(I192="",J192=""),"",SUM($I$6:I192)-SUM($J$6:J192))</x:f>
      </x:c>
      <x:c r="L192" s="17" t="str">
        <x:f>IF(A192="","",TEXT(A192,"yyyy-mm"))</x:f>
      </x:c>
      <x:c r="M192" s="17" t="str">
        <x:f>IF(A192="","","MOV-"&amp;TEXT(ROW()-5,"0000"))</x:f>
      </x:c>
    </x:row>
    <x:row r="193">
      <x:c r="A193" s="63"/>
      <x:c r="B193" s="17" t="str"/>
      <x:c r="C193" s="17" t="str"/>
      <x:c r="D193" s="17" t="str"/>
      <x:c r="E193" s="17" t="str"/>
      <x:c r="F193" s="17" t="str"/>
      <x:c r="G193" s="17" t="str"/>
      <x:c r="H193" s="17" t="str"/>
      <x:c r="I193" s="18"/>
      <x:c r="J193" s="18"/>
      <x:c r="K193" s="18" t="str">
        <x:f>IF(AND(I193="",J193=""),"",SUM($I$6:I193)-SUM($J$6:J193))</x:f>
      </x:c>
      <x:c r="L193" s="17" t="str">
        <x:f>IF(A193="","",TEXT(A193,"yyyy-mm"))</x:f>
      </x:c>
      <x:c r="M193" s="17" t="str">
        <x:f>IF(A193="","","MOV-"&amp;TEXT(ROW()-5,"0000"))</x:f>
      </x:c>
    </x:row>
    <x:row r="194">
      <x:c r="A194" s="63"/>
      <x:c r="B194" s="17" t="str"/>
      <x:c r="C194" s="17" t="str"/>
      <x:c r="D194" s="17" t="str"/>
      <x:c r="E194" s="17" t="str"/>
      <x:c r="F194" s="17" t="str"/>
      <x:c r="G194" s="17" t="str"/>
      <x:c r="H194" s="17" t="str"/>
      <x:c r="I194" s="18"/>
      <x:c r="J194" s="18"/>
      <x:c r="K194" s="18" t="str">
        <x:f>IF(AND(I194="",J194=""),"",SUM($I$6:I194)-SUM($J$6:J194))</x:f>
      </x:c>
      <x:c r="L194" s="17" t="str">
        <x:f>IF(A194="","",TEXT(A194,"yyyy-mm"))</x:f>
      </x:c>
      <x:c r="M194" s="17" t="str">
        <x:f>IF(A194="","","MOV-"&amp;TEXT(ROW()-5,"0000"))</x:f>
      </x:c>
    </x:row>
    <x:row r="195">
      <x:c r="A195" s="63"/>
      <x:c r="B195" s="17" t="str"/>
      <x:c r="C195" s="17" t="str"/>
      <x:c r="D195" s="17" t="str"/>
      <x:c r="E195" s="17" t="str"/>
      <x:c r="F195" s="17" t="str"/>
      <x:c r="G195" s="17" t="str"/>
      <x:c r="H195" s="17" t="str"/>
      <x:c r="I195" s="18"/>
      <x:c r="J195" s="18"/>
      <x:c r="K195" s="18" t="str">
        <x:f>IF(AND(I195="",J195=""),"",SUM($I$6:I195)-SUM($J$6:J195))</x:f>
      </x:c>
      <x:c r="L195" s="17" t="str">
        <x:f>IF(A195="","",TEXT(A195,"yyyy-mm"))</x:f>
      </x:c>
      <x:c r="M195" s="17" t="str">
        <x:f>IF(A195="","","MOV-"&amp;TEXT(ROW()-5,"0000"))</x:f>
      </x:c>
    </x:row>
    <x:row r="196">
      <x:c r="A196" s="63"/>
      <x:c r="B196" s="17" t="str"/>
      <x:c r="C196" s="17" t="str"/>
      <x:c r="D196" s="17" t="str"/>
      <x:c r="E196" s="17" t="str"/>
      <x:c r="F196" s="17" t="str"/>
      <x:c r="G196" s="17" t="str"/>
      <x:c r="H196" s="17" t="str"/>
      <x:c r="I196" s="18"/>
      <x:c r="J196" s="18"/>
      <x:c r="K196" s="18" t="str">
        <x:f>IF(AND(I196="",J196=""),"",SUM($I$6:I196)-SUM($J$6:J196))</x:f>
      </x:c>
      <x:c r="L196" s="17" t="str">
        <x:f>IF(A196="","",TEXT(A196,"yyyy-mm"))</x:f>
      </x:c>
      <x:c r="M196" s="17" t="str">
        <x:f>IF(A196="","","MOV-"&amp;TEXT(ROW()-5,"0000"))</x:f>
      </x:c>
    </x:row>
    <x:row r="197">
      <x:c r="A197" s="63"/>
      <x:c r="B197" s="17" t="str"/>
      <x:c r="C197" s="17" t="str"/>
      <x:c r="D197" s="17" t="str"/>
      <x:c r="E197" s="17" t="str"/>
      <x:c r="F197" s="17" t="str"/>
      <x:c r="G197" s="17" t="str"/>
      <x:c r="H197" s="17" t="str"/>
      <x:c r="I197" s="18"/>
      <x:c r="J197" s="18"/>
      <x:c r="K197" s="18" t="str">
        <x:f>IF(AND(I197="",J197=""),"",SUM($I$6:I197)-SUM($J$6:J197))</x:f>
      </x:c>
      <x:c r="L197" s="17" t="str">
        <x:f>IF(A197="","",TEXT(A197,"yyyy-mm"))</x:f>
      </x:c>
      <x:c r="M197" s="17" t="str">
        <x:f>IF(A197="","","MOV-"&amp;TEXT(ROW()-5,"0000"))</x:f>
      </x:c>
    </x:row>
    <x:row r="198">
      <x:c r="A198" s="63"/>
      <x:c r="B198" s="17" t="str"/>
      <x:c r="C198" s="17" t="str"/>
      <x:c r="D198" s="17" t="str"/>
      <x:c r="E198" s="17" t="str"/>
      <x:c r="F198" s="17" t="str"/>
      <x:c r="G198" s="17" t="str"/>
      <x:c r="H198" s="17" t="str"/>
      <x:c r="I198" s="18"/>
      <x:c r="J198" s="18"/>
      <x:c r="K198" s="18" t="str">
        <x:f>IF(AND(I198="",J198=""),"",SUM($I$6:I198)-SUM($J$6:J198))</x:f>
      </x:c>
      <x:c r="L198" s="17" t="str">
        <x:f>IF(A198="","",TEXT(A198,"yyyy-mm"))</x:f>
      </x:c>
      <x:c r="M198" s="17" t="str">
        <x:f>IF(A198="","","MOV-"&amp;TEXT(ROW()-5,"0000"))</x:f>
      </x:c>
    </x:row>
    <x:row r="199">
      <x:c r="A199" s="63"/>
      <x:c r="B199" s="17" t="str"/>
      <x:c r="C199" s="17" t="str"/>
      <x:c r="D199" s="17" t="str"/>
      <x:c r="E199" s="17" t="str"/>
      <x:c r="F199" s="17" t="str"/>
      <x:c r="G199" s="17" t="str"/>
      <x:c r="H199" s="17" t="str"/>
      <x:c r="I199" s="18"/>
      <x:c r="J199" s="18"/>
      <x:c r="K199" s="18" t="str">
        <x:f>IF(AND(I199="",J199=""),"",SUM($I$6:I199)-SUM($J$6:J199))</x:f>
      </x:c>
      <x:c r="L199" s="17" t="str">
        <x:f>IF(A199="","",TEXT(A199,"yyyy-mm"))</x:f>
      </x:c>
      <x:c r="M199" s="17" t="str">
        <x:f>IF(A199="","","MOV-"&amp;TEXT(ROW()-5,"0000"))</x:f>
      </x:c>
    </x:row>
    <x:row r="200">
      <x:c r="A200" s="63"/>
      <x:c r="B200" s="17" t="str"/>
      <x:c r="C200" s="17" t="str"/>
      <x:c r="D200" s="17" t="str"/>
      <x:c r="E200" s="17" t="str"/>
      <x:c r="F200" s="17" t="str"/>
      <x:c r="G200" s="17" t="str"/>
      <x:c r="H200" s="17" t="str"/>
      <x:c r="I200" s="18"/>
      <x:c r="J200" s="18"/>
      <x:c r="K200" s="18" t="str">
        <x:f>IF(AND(I200="",J200=""),"",SUM($I$6:I200)-SUM($J$6:J200))</x:f>
      </x:c>
      <x:c r="L200" s="17" t="str">
        <x:f>IF(A200="","",TEXT(A200,"yyyy-mm"))</x:f>
      </x:c>
      <x:c r="M200" s="17" t="str">
        <x:f>IF(A200="","","MOV-"&amp;TEXT(ROW()-5,"0000"))</x:f>
      </x:c>
    </x:row>
    <x:row r="201">
      <x:c r="A201" s="63"/>
      <x:c r="B201" s="17" t="str"/>
      <x:c r="C201" s="17" t="str"/>
      <x:c r="D201" s="17" t="str"/>
      <x:c r="E201" s="17" t="str"/>
      <x:c r="F201" s="17" t="str"/>
      <x:c r="G201" s="17" t="str"/>
      <x:c r="H201" s="17" t="str"/>
      <x:c r="I201" s="18"/>
      <x:c r="J201" s="18"/>
      <x:c r="K201" s="18" t="str">
        <x:f>IF(AND(I201="",J201=""),"",SUM($I$6:I201)-SUM($J$6:J201))</x:f>
      </x:c>
      <x:c r="L201" s="17" t="str">
        <x:f>IF(A201="","",TEXT(A201,"yyyy-mm"))</x:f>
      </x:c>
      <x:c r="M201" s="17" t="str">
        <x:f>IF(A201="","","MOV-"&amp;TEXT(ROW()-5,"0000"))</x:f>
      </x:c>
    </x:row>
    <x:row r="202">
      <x:c r="A202" s="63"/>
      <x:c r="B202" s="17" t="str"/>
      <x:c r="C202" s="17" t="str"/>
      <x:c r="D202" s="17" t="str"/>
      <x:c r="E202" s="17" t="str"/>
      <x:c r="F202" s="17" t="str"/>
      <x:c r="G202" s="17" t="str"/>
      <x:c r="H202" s="17" t="str"/>
      <x:c r="I202" s="18"/>
      <x:c r="J202" s="18"/>
      <x:c r="K202" s="18" t="str">
        <x:f>IF(AND(I202="",J202=""),"",SUM($I$6:I202)-SUM($J$6:J202))</x:f>
      </x:c>
      <x:c r="L202" s="17" t="str">
        <x:f>IF(A202="","",TEXT(A202,"yyyy-mm"))</x:f>
      </x:c>
      <x:c r="M202" s="17" t="str">
        <x:f>IF(A202="","","MOV-"&amp;TEXT(ROW()-5,"0000"))</x:f>
      </x:c>
    </x:row>
    <x:row r="203">
      <x:c r="A203" s="63"/>
      <x:c r="B203" s="17" t="str"/>
      <x:c r="C203" s="17" t="str"/>
      <x:c r="D203" s="17" t="str"/>
      <x:c r="E203" s="17" t="str"/>
      <x:c r="F203" s="17" t="str"/>
      <x:c r="G203" s="17" t="str"/>
      <x:c r="H203" s="17" t="str"/>
      <x:c r="I203" s="18"/>
      <x:c r="J203" s="18"/>
      <x:c r="K203" s="18" t="str">
        <x:f>IF(AND(I203="",J203=""),"",SUM($I$6:I203)-SUM($J$6:J203))</x:f>
      </x:c>
      <x:c r="L203" s="17" t="str">
        <x:f>IF(A203="","",TEXT(A203,"yyyy-mm"))</x:f>
      </x:c>
      <x:c r="M203" s="17" t="str">
        <x:f>IF(A203="","","MOV-"&amp;TEXT(ROW()-5,"0000"))</x:f>
      </x:c>
    </x:row>
    <x:row r="204">
      <x:c r="A204" s="63"/>
      <x:c r="B204" s="17" t="str"/>
      <x:c r="C204" s="17" t="str"/>
      <x:c r="D204" s="17" t="str"/>
      <x:c r="E204" s="17" t="str"/>
      <x:c r="F204" s="17" t="str"/>
      <x:c r="G204" s="17" t="str"/>
      <x:c r="H204" s="17" t="str"/>
      <x:c r="I204" s="18"/>
      <x:c r="J204" s="18"/>
      <x:c r="K204" s="18" t="str">
        <x:f>IF(AND(I204="",J204=""),"",SUM($I$6:I204)-SUM($J$6:J204))</x:f>
      </x:c>
      <x:c r="L204" s="17" t="str">
        <x:f>IF(A204="","",TEXT(A204,"yyyy-mm"))</x:f>
      </x:c>
      <x:c r="M204" s="17" t="str">
        <x:f>IF(A204="","","MOV-"&amp;TEXT(ROW()-5,"0000"))</x:f>
      </x:c>
    </x:row>
    <x:row r="205">
      <x:c r="A205" s="63"/>
      <x:c r="B205" s="17" t="str"/>
      <x:c r="C205" s="17" t="str"/>
      <x:c r="D205" s="17" t="str"/>
      <x:c r="E205" s="17" t="str"/>
      <x:c r="F205" s="17" t="str"/>
      <x:c r="G205" s="17" t="str"/>
      <x:c r="H205" s="17" t="str"/>
      <x:c r="I205" s="18"/>
      <x:c r="J205" s="18"/>
      <x:c r="K205" s="18" t="str">
        <x:f>IF(AND(I205="",J205=""),"",SUM($I$6:I205)-SUM($J$6:J205))</x:f>
      </x:c>
      <x:c r="L205" s="17" t="str">
        <x:f>IF(A205="","",TEXT(A205,"yyyy-mm"))</x:f>
      </x:c>
      <x:c r="M205" s="17" t="str">
        <x:f>IF(A205="","","MOV-"&amp;TEXT(ROW()-5,"0000"))</x:f>
      </x:c>
    </x:row>
  </x:sheetData>
  <x:mergeCells>
    <x:mergeCell ref="A1:M1"/>
    <x:mergeCell ref="A2:H2"/>
  </x:mergeCells>
  <x:dataValidations count="4">
    <x:dataValidation type="list" sqref="B6:B205">
      <x:formula1>"Ingreso,Gasto"</x:formula1>
    </x:dataValidation>
    <x:dataValidation type="list" sqref="C6:C205">
      <x:formula1>"Caja,Banco,Nequi,Daviplata,Tarjeta"</x:formula1>
    </x:dataValidation>
    <x:dataValidation type="list" sqref="D6:D205">
      <x:formula1>"Ventas,Servicios,Otros ingresos,Compras,Arriendo,Servicios publicos,Nomina,Transporte,Marketing,Impuestos,Otros gastos"</x:formula1>
    </x:dataValidation>
    <x:dataValidation type="list" sqref="G6:G205">
      <x:formula1>"Efectivo,Transferencia,Tarjeta,Nequi,Daviplata,Credito"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57d94d92d44a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130000114440918" hidden="0" customWidth="1"/>
    <x:col min="3" max="3" width="20" hidden="0" customWidth="1"/>
    <x:col min="4" max="4" width="27.5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5" hidden="0" customWidth="1"/>
    <x:col min="9" max="9" width="13.130000114440918" hidden="0" customWidth="1"/>
    <x:col min="10" max="10" width="15" hidden="0" customWidth="1"/>
    <x:col min="11" max="11" width="11.880000114440918" hidden="0" customWidth="1"/>
  </x:cols>
  <x:sheetData>
    <x:row r="1" ht="31.5" customHeight="1">
      <x:c r="A1" s="4" t="str">
        <x:v>Facturas</x:v>
      </x:c>
      <x:c r="B1" s="4" t="str">
        <x:v>Facturas</x:v>
      </x:c>
      <x:c r="C1" s="4" t="str">
        <x:v>Facturas</x:v>
      </x:c>
      <x:c r="D1" s="4" t="str">
        <x:v>Facturas</x:v>
      </x:c>
      <x:c r="E1" s="4" t="str">
        <x:v>Facturas</x:v>
      </x:c>
      <x:c r="F1" s="4" t="str">
        <x:v>Facturas</x:v>
      </x:c>
      <x:c r="G1" s="4" t="str">
        <x:v>Facturas</x:v>
      </x:c>
      <x:c r="H1" s="4" t="str">
        <x:v>Facturas</x:v>
      </x:c>
      <x:c r="I1" s="4" t="str">
        <x:v>Facturas</x:v>
      </x:c>
      <x:c r="J1" s="4" t="str">
        <x:v>Facturas</x:v>
      </x:c>
      <x:c r="K1" s="4" t="str">
        <x:v>Facturas</x:v>
      </x:c>
    </x:row>
    <x:row r="2">
      <x:c r="A2" s="8" t="str">
        <x:v>Control de cuentas por cobrar y por pagar</x:v>
      </x:c>
      <x:c r="B2" s="8" t="str">
        <x:v>Control de cuentas por cobrar y por pagar</x:v>
      </x:c>
      <x:c r="C2" s="8" t="str">
        <x:v>Control de cuentas por cobrar y por pagar</x:v>
      </x:c>
      <x:c r="D2" s="8" t="str">
        <x:v>Control de cuentas por cobrar y por pagar</x:v>
      </x:c>
      <x:c r="E2" s="8" t="str">
        <x:v>Control de cuentas por cobrar y por pagar</x:v>
      </x:c>
      <x:c r="F2" s="8" t="str">
        <x:v>Control de cuentas por cobrar y por pagar</x:v>
      </x:c>
      <x:c r="G2" s="8" t="str">
        <x:v>Control de cuentas por cobrar y por pagar</x:v>
      </x:c>
      <x:c r="H2" s="8" t="str">
        <x:v>Control de cuentas por cobrar y por pagar</x:v>
      </x:c>
    </x:row>
    <x:row r="5">
      <x:c r="A5" s="62" t="str">
        <x:v>Fecha</x:v>
      </x:c>
      <x:c r="B5" s="62" t="str">
        <x:v>Tipo</x:v>
      </x:c>
      <x:c r="C5" s="62" t="str">
        <x:v>Nombre</x:v>
      </x:c>
      <x:c r="D5" s="62" t="str">
        <x:v>Descripcion</x:v>
      </x:c>
      <x:c r="E5" s="62" t="str">
        <x:v>Total</x:v>
      </x:c>
      <x:c r="F5" s="62" t="str">
        <x:v>Pagado</x:v>
      </x:c>
      <x:c r="G5" s="62" t="str">
        <x:v>Pendiente</x:v>
      </x:c>
      <x:c r="H5" s="62" t="str">
        <x:v>Vencimiento</x:v>
      </x:c>
      <x:c r="I5" s="62" t="str">
        <x:v>Estado</x:v>
      </x:c>
      <x:c r="J5" s="62" t="str">
        <x:v>Referencia</x:v>
      </x:c>
      <x:c r="K5" s="62" t="str">
        <x:v>ID</x:v>
      </x:c>
    </x:row>
    <x:row r="6">
      <x:c r="A6" s="63" t="n">
        <x:v>46174</x:v>
      </x:c>
      <x:c r="B6" s="17" t="str">
        <x:v>Cliente</x:v>
      </x:c>
      <x:c r="C6" s="17" t="str">
        <x:v>Laura Perez</x:v>
      </x:c>
      <x:c r="D6" s="17" t="str">
        <x:v>Servicio tecnico mensual</x:v>
      </x:c>
      <x:c r="E6" s="18" t="n">
        <x:v>650000</x:v>
      </x:c>
      <x:c r="F6" s="18" t="n">
        <x:v>300000</x:v>
      </x:c>
      <x:c r="G6" s="18" t="n">
        <x:f>IF(E6="","",E6-F6)</x:f>
        <x:v>350000</x:v>
      </x:c>
      <x:c r="H6" s="63" t="n">
        <x:v>46185</x:v>
      </x:c>
      <x:c r="I6" s="17" t="str">
        <x:f>IF(G6&lt;=0,"Pagada",IF(H6&lt;TODAY(),"Vencida","Pendiente"))</x:f>
        <x:v>Pendiente</x:v>
      </x:c>
      <x:c r="J6" s="17" t="str">
        <x:v>FAC-C001</x:v>
      </x:c>
      <x:c r="K6" s="17" t="str">
        <x:f>IF(A6="","","FAC-"&amp;TEXT(ROW()-5,"0000"))</x:f>
        <x:v>FAC-0001</x:v>
      </x:c>
    </x:row>
    <x:row r="7">
      <x:c r="A7" s="63" t="n">
        <x:v>46175</x:v>
      </x:c>
      <x:c r="B7" s="17" t="str">
        <x:v>Cliente</x:v>
      </x:c>
      <x:c r="C7" s="17" t="str">
        <x:v>Carlos Ruiz</x:v>
      </x:c>
      <x:c r="D7" s="17" t="str">
        <x:v>Pedido por redes</x:v>
      </x:c>
      <x:c r="E7" s="18" t="n">
        <x:v>540000</x:v>
      </x:c>
      <x:c r="F7" s="18" t="n">
        <x:v>540000</x:v>
      </x:c>
      <x:c r="G7" s="18" t="n">
        <x:f>IF(E7="","",E7-F7)</x:f>
        <x:v>0</x:v>
      </x:c>
      <x:c r="H7" s="63" t="n">
        <x:v>46183</x:v>
      </x:c>
      <x:c r="I7" s="17" t="str">
        <x:f>IF(G7&lt;=0,"Pagada",IF(H7&lt;TODAY(),"Vencida","Pendiente"))</x:f>
        <x:v>Pagada</x:v>
      </x:c>
      <x:c r="J7" s="17" t="str">
        <x:v>FAC-C002</x:v>
      </x:c>
      <x:c r="K7" s="17" t="str">
        <x:f>IF(A7="","","FAC-"&amp;TEXT(ROW()-5,"0000"))</x:f>
        <x:v>FAC-0002</x:v>
      </x:c>
    </x:row>
    <x:row r="8">
      <x:c r="A8" s="63" t="n">
        <x:v>46176</x:v>
      </x:c>
      <x:c r="B8" s="17" t="str">
        <x:v>Proveedor</x:v>
      </x:c>
      <x:c r="C8" s="17" t="str">
        <x:v>Proveedor Norte</x:v>
      </x:c>
      <x:c r="D8" s="17" t="str">
        <x:v>Mercancia de junio</x:v>
      </x:c>
      <x:c r="E8" s="18" t="n">
        <x:v>920000</x:v>
      </x:c>
      <x:c r="F8" s="18" t="n">
        <x:v>420000</x:v>
      </x:c>
      <x:c r="G8" s="18" t="n">
        <x:f>IF(E8="","",E8-F8)</x:f>
        <x:v>500000</x:v>
      </x:c>
      <x:c r="H8" s="63" t="n">
        <x:v>46191</x:v>
      </x:c>
      <x:c r="I8" s="17" t="str">
        <x:f>IF(G8&lt;=0,"Pagada",IF(H8&lt;TODAY(),"Vencida","Pendiente"))</x:f>
        <x:v>Pendiente</x:v>
      </x:c>
      <x:c r="J8" s="17" t="str">
        <x:v>FAC-P001</x:v>
      </x:c>
      <x:c r="K8" s="17" t="str">
        <x:f>IF(A8="","","FAC-"&amp;TEXT(ROW()-5,"0000"))</x:f>
        <x:v>FAC-0003</x:v>
      </x:c>
    </x:row>
    <x:row r="9">
      <x:c r="A9" s="63" t="n">
        <x:v>46162</x:v>
      </x:c>
      <x:c r="B9" s="17" t="str">
        <x:v>Proveedor</x:v>
      </x:c>
      <x:c r="C9" s="17" t="str">
        <x:v>Operador local</x:v>
      </x:c>
      <x:c r="D9" s="17" t="str">
        <x:v>Internet negocio</x:v>
      </x:c>
      <x:c r="E9" s="18" t="n">
        <x:v>98000</x:v>
      </x:c>
      <x:c r="F9" s="18" t="n">
        <x:v>0</x:v>
      </x:c>
      <x:c r="G9" s="18" t="n">
        <x:f>IF(E9="","",E9-F9)</x:f>
        <x:v>98000</x:v>
      </x:c>
      <x:c r="H9" s="63" t="n">
        <x:v>46176</x:v>
      </x:c>
      <x:c r="I9" s="17" t="str">
        <x:f>IF(G9&lt;=0,"Pagada",IF(H9&lt;TODAY(),"Vencida","Pendiente"))</x:f>
        <x:v>Vencida</x:v>
      </x:c>
      <x:c r="J9" s="17" t="str">
        <x:v>FAC-P002</x:v>
      </x:c>
      <x:c r="K9" s="17" t="str">
        <x:f>IF(A9="","","FAC-"&amp;TEXT(ROW()-5,"0000"))</x:f>
        <x:v>FAC-0004</x:v>
      </x:c>
    </x:row>
    <x:row r="10">
      <x:c r="A10" s="63"/>
      <x:c r="B10" s="17" t="str"/>
      <x:c r="C10" s="17" t="str"/>
      <x:c r="D10" s="17" t="str"/>
      <x:c r="E10" s="18"/>
      <x:c r="F10" s="18"/>
      <x:c r="G10" s="18" t="str">
        <x:f>IF(E10="","",E10-F10)</x:f>
      </x:c>
      <x:c r="H10" s="63"/>
      <x:c r="I10" s="17" t="str">
        <x:f>IF(A10="","",IF(G10&lt;=0,"Pagada",IF(H10&lt;TODAY(),"Vencida","Pendiente")))</x:f>
      </x:c>
      <x:c r="J10" s="17" t="str"/>
      <x:c r="K10" s="17" t="str">
        <x:f>IF(A10="","","FAC-"&amp;TEXT(ROW()-5,"0000"))</x:f>
      </x:c>
    </x:row>
    <x:row r="11">
      <x:c r="A11" s="63"/>
      <x:c r="B11" s="17" t="str"/>
      <x:c r="C11" s="17" t="str"/>
      <x:c r="D11" s="17" t="str"/>
      <x:c r="E11" s="18"/>
      <x:c r="F11" s="18"/>
      <x:c r="G11" s="18" t="str">
        <x:f>IF(E11="","",E11-F11)</x:f>
      </x:c>
      <x:c r="H11" s="63"/>
      <x:c r="I11" s="17" t="str">
        <x:f>IF(A11="","",IF(G11&lt;=0,"Pagada",IF(H11&lt;TODAY(),"Vencida","Pendiente")))</x:f>
      </x:c>
      <x:c r="J11" s="17" t="str"/>
      <x:c r="K11" s="17" t="str">
        <x:f>IF(A11="","","FAC-"&amp;TEXT(ROW()-5,"0000"))</x:f>
      </x:c>
    </x:row>
    <x:row r="12">
      <x:c r="A12" s="63"/>
      <x:c r="B12" s="17" t="str"/>
      <x:c r="C12" s="17" t="str"/>
      <x:c r="D12" s="17" t="str"/>
      <x:c r="E12" s="18"/>
      <x:c r="F12" s="18"/>
      <x:c r="G12" s="18" t="str">
        <x:f>IF(E12="","",E12-F12)</x:f>
      </x:c>
      <x:c r="H12" s="63"/>
      <x:c r="I12" s="17" t="str">
        <x:f>IF(A12="","",IF(G12&lt;=0,"Pagada",IF(H12&lt;TODAY(),"Vencida","Pendiente")))</x:f>
      </x:c>
      <x:c r="J12" s="17" t="str"/>
      <x:c r="K12" s="17" t="str">
        <x:f>IF(A12="","","FAC-"&amp;TEXT(ROW()-5,"0000"))</x:f>
      </x:c>
    </x:row>
    <x:row r="13">
      <x:c r="A13" s="63"/>
      <x:c r="B13" s="17" t="str"/>
      <x:c r="C13" s="17" t="str"/>
      <x:c r="D13" s="17" t="str"/>
      <x:c r="E13" s="18"/>
      <x:c r="F13" s="18"/>
      <x:c r="G13" s="18" t="str">
        <x:f>IF(E13="","",E13-F13)</x:f>
      </x:c>
      <x:c r="H13" s="63"/>
      <x:c r="I13" s="17" t="str">
        <x:f>IF(A13="","",IF(G13&lt;=0,"Pagada",IF(H13&lt;TODAY(),"Vencida","Pendiente")))</x:f>
      </x:c>
      <x:c r="J13" s="17" t="str"/>
      <x:c r="K13" s="17" t="str">
        <x:f>IF(A13="","","FAC-"&amp;TEXT(ROW()-5,"0000"))</x:f>
      </x:c>
    </x:row>
    <x:row r="14">
      <x:c r="A14" s="63"/>
      <x:c r="B14" s="17" t="str"/>
      <x:c r="C14" s="17" t="str"/>
      <x:c r="D14" s="17" t="str"/>
      <x:c r="E14" s="18"/>
      <x:c r="F14" s="18"/>
      <x:c r="G14" s="18" t="str">
        <x:f>IF(E14="","",E14-F14)</x:f>
      </x:c>
      <x:c r="H14" s="63"/>
      <x:c r="I14" s="17" t="str">
        <x:f>IF(A14="","",IF(G14&lt;=0,"Pagada",IF(H14&lt;TODAY(),"Vencida","Pendiente")))</x:f>
      </x:c>
      <x:c r="J14" s="17" t="str"/>
      <x:c r="K14" s="17" t="str">
        <x:f>IF(A14="","","FAC-"&amp;TEXT(ROW()-5,"0000"))</x:f>
      </x:c>
    </x:row>
    <x:row r="15">
      <x:c r="A15" s="63"/>
      <x:c r="B15" s="17" t="str"/>
      <x:c r="C15" s="17" t="str"/>
      <x:c r="D15" s="17" t="str"/>
      <x:c r="E15" s="18"/>
      <x:c r="F15" s="18"/>
      <x:c r="G15" s="18" t="str">
        <x:f>IF(E15="","",E15-F15)</x:f>
      </x:c>
      <x:c r="H15" s="63"/>
      <x:c r="I15" s="17" t="str">
        <x:f>IF(A15="","",IF(G15&lt;=0,"Pagada",IF(H15&lt;TODAY(),"Vencida","Pendiente")))</x:f>
      </x:c>
      <x:c r="J15" s="17" t="str"/>
      <x:c r="K15" s="17" t="str">
        <x:f>IF(A15="","","FAC-"&amp;TEXT(ROW()-5,"0000"))</x:f>
      </x:c>
    </x:row>
    <x:row r="16">
      <x:c r="A16" s="63"/>
      <x:c r="B16" s="17" t="str"/>
      <x:c r="C16" s="17" t="str"/>
      <x:c r="D16" s="17" t="str"/>
      <x:c r="E16" s="18"/>
      <x:c r="F16" s="18"/>
      <x:c r="G16" s="18" t="str">
        <x:f>IF(E16="","",E16-F16)</x:f>
      </x:c>
      <x:c r="H16" s="63"/>
      <x:c r="I16" s="17" t="str">
        <x:f>IF(A16="","",IF(G16&lt;=0,"Pagada",IF(H16&lt;TODAY(),"Vencida","Pendiente")))</x:f>
      </x:c>
      <x:c r="J16" s="17" t="str"/>
      <x:c r="K16" s="17" t="str">
        <x:f>IF(A16="","","FAC-"&amp;TEXT(ROW()-5,"0000"))</x:f>
      </x:c>
    </x:row>
    <x:row r="17">
      <x:c r="A17" s="63"/>
      <x:c r="B17" s="17" t="str"/>
      <x:c r="C17" s="17" t="str"/>
      <x:c r="D17" s="17" t="str"/>
      <x:c r="E17" s="18"/>
      <x:c r="F17" s="18"/>
      <x:c r="G17" s="18" t="str">
        <x:f>IF(E17="","",E17-F17)</x:f>
      </x:c>
      <x:c r="H17" s="63"/>
      <x:c r="I17" s="17" t="str">
        <x:f>IF(A17="","",IF(G17&lt;=0,"Pagada",IF(H17&lt;TODAY(),"Vencida","Pendiente")))</x:f>
      </x:c>
      <x:c r="J17" s="17" t="str"/>
      <x:c r="K17" s="17" t="str">
        <x:f>IF(A17="","","FAC-"&amp;TEXT(ROW()-5,"0000"))</x:f>
      </x:c>
    </x:row>
    <x:row r="18">
      <x:c r="A18" s="63"/>
      <x:c r="B18" s="17" t="str"/>
      <x:c r="C18" s="17" t="str"/>
      <x:c r="D18" s="17" t="str"/>
      <x:c r="E18" s="18"/>
      <x:c r="F18" s="18"/>
      <x:c r="G18" s="18" t="str">
        <x:f>IF(E18="","",E18-F18)</x:f>
      </x:c>
      <x:c r="H18" s="63"/>
      <x:c r="I18" s="17" t="str">
        <x:f>IF(A18="","",IF(G18&lt;=0,"Pagada",IF(H18&lt;TODAY(),"Vencida","Pendiente")))</x:f>
      </x:c>
      <x:c r="J18" s="17" t="str"/>
      <x:c r="K18" s="17" t="str">
        <x:f>IF(A18="","","FAC-"&amp;TEXT(ROW()-5,"0000"))</x:f>
      </x:c>
    </x:row>
    <x:row r="19">
      <x:c r="A19" s="63"/>
      <x:c r="B19" s="17" t="str"/>
      <x:c r="C19" s="17" t="str"/>
      <x:c r="D19" s="17" t="str"/>
      <x:c r="E19" s="18"/>
      <x:c r="F19" s="18"/>
      <x:c r="G19" s="18" t="str">
        <x:f>IF(E19="","",E19-F19)</x:f>
      </x:c>
      <x:c r="H19" s="63"/>
      <x:c r="I19" s="17" t="str">
        <x:f>IF(A19="","",IF(G19&lt;=0,"Pagada",IF(H19&lt;TODAY(),"Vencida","Pendiente")))</x:f>
      </x:c>
      <x:c r="J19" s="17" t="str"/>
      <x:c r="K19" s="17" t="str">
        <x:f>IF(A19="","","FAC-"&amp;TEXT(ROW()-5,"0000"))</x:f>
      </x:c>
    </x:row>
    <x:row r="20">
      <x:c r="A20" s="63"/>
      <x:c r="B20" s="17" t="str"/>
      <x:c r="C20" s="17" t="str"/>
      <x:c r="D20" s="17" t="str"/>
      <x:c r="E20" s="18"/>
      <x:c r="F20" s="18"/>
      <x:c r="G20" s="18" t="str">
        <x:f>IF(E20="","",E20-F20)</x:f>
      </x:c>
      <x:c r="H20" s="63"/>
      <x:c r="I20" s="17" t="str">
        <x:f>IF(A20="","",IF(G20&lt;=0,"Pagada",IF(H20&lt;TODAY(),"Vencida","Pendiente")))</x:f>
      </x:c>
      <x:c r="J20" s="17" t="str"/>
      <x:c r="K20" s="17" t="str">
        <x:f>IF(A20="","","FAC-"&amp;TEXT(ROW()-5,"0000"))</x:f>
      </x:c>
    </x:row>
    <x:row r="21">
      <x:c r="A21" s="63"/>
      <x:c r="B21" s="17" t="str"/>
      <x:c r="C21" s="17" t="str"/>
      <x:c r="D21" s="17" t="str"/>
      <x:c r="E21" s="18"/>
      <x:c r="F21" s="18"/>
      <x:c r="G21" s="18" t="str">
        <x:f>IF(E21="","",E21-F21)</x:f>
      </x:c>
      <x:c r="H21" s="63"/>
      <x:c r="I21" s="17" t="str">
        <x:f>IF(A21="","",IF(G21&lt;=0,"Pagada",IF(H21&lt;TODAY(),"Vencida","Pendiente")))</x:f>
      </x:c>
      <x:c r="J21" s="17" t="str"/>
      <x:c r="K21" s="17" t="str">
        <x:f>IF(A21="","","FAC-"&amp;TEXT(ROW()-5,"0000"))</x:f>
      </x:c>
    </x:row>
    <x:row r="22">
      <x:c r="A22" s="63"/>
      <x:c r="B22" s="17" t="str"/>
      <x:c r="C22" s="17" t="str"/>
      <x:c r="D22" s="17" t="str"/>
      <x:c r="E22" s="18"/>
      <x:c r="F22" s="18"/>
      <x:c r="G22" s="18" t="str">
        <x:f>IF(E22="","",E22-F22)</x:f>
      </x:c>
      <x:c r="H22" s="63"/>
      <x:c r="I22" s="17" t="str">
        <x:f>IF(A22="","",IF(G22&lt;=0,"Pagada",IF(H22&lt;TODAY(),"Vencida","Pendiente")))</x:f>
      </x:c>
      <x:c r="J22" s="17" t="str"/>
      <x:c r="K22" s="17" t="str">
        <x:f>IF(A22="","","FAC-"&amp;TEXT(ROW()-5,"0000"))</x:f>
      </x:c>
    </x:row>
    <x:row r="23">
      <x:c r="A23" s="63"/>
      <x:c r="B23" s="17" t="str"/>
      <x:c r="C23" s="17" t="str"/>
      <x:c r="D23" s="17" t="str"/>
      <x:c r="E23" s="18"/>
      <x:c r="F23" s="18"/>
      <x:c r="G23" s="18" t="str">
        <x:f>IF(E23="","",E23-F23)</x:f>
      </x:c>
      <x:c r="H23" s="63"/>
      <x:c r="I23" s="17" t="str">
        <x:f>IF(A23="","",IF(G23&lt;=0,"Pagada",IF(H23&lt;TODAY(),"Vencida","Pendiente")))</x:f>
      </x:c>
      <x:c r="J23" s="17" t="str"/>
      <x:c r="K23" s="17" t="str">
        <x:f>IF(A23="","","FAC-"&amp;TEXT(ROW()-5,"0000"))</x:f>
      </x:c>
    </x:row>
    <x:row r="24">
      <x:c r="A24" s="63"/>
      <x:c r="B24" s="17" t="str"/>
      <x:c r="C24" s="17" t="str"/>
      <x:c r="D24" s="17" t="str"/>
      <x:c r="E24" s="18"/>
      <x:c r="F24" s="18"/>
      <x:c r="G24" s="18" t="str">
        <x:f>IF(E24="","",E24-F24)</x:f>
      </x:c>
      <x:c r="H24" s="63"/>
      <x:c r="I24" s="17" t="str">
        <x:f>IF(A24="","",IF(G24&lt;=0,"Pagada",IF(H24&lt;TODAY(),"Vencida","Pendiente")))</x:f>
      </x:c>
      <x:c r="J24" s="17" t="str"/>
      <x:c r="K24" s="17" t="str">
        <x:f>IF(A24="","","FAC-"&amp;TEXT(ROW()-5,"0000"))</x:f>
      </x:c>
    </x:row>
    <x:row r="25">
      <x:c r="A25" s="63"/>
      <x:c r="B25" s="17" t="str"/>
      <x:c r="C25" s="17" t="str"/>
      <x:c r="D25" s="17" t="str"/>
      <x:c r="E25" s="18"/>
      <x:c r="F25" s="18"/>
      <x:c r="G25" s="18" t="str">
        <x:f>IF(E25="","",E25-F25)</x:f>
      </x:c>
      <x:c r="H25" s="63"/>
      <x:c r="I25" s="17" t="str">
        <x:f>IF(A25="","",IF(G25&lt;=0,"Pagada",IF(H25&lt;TODAY(),"Vencida","Pendiente")))</x:f>
      </x:c>
      <x:c r="J25" s="17" t="str"/>
      <x:c r="K25" s="17" t="str">
        <x:f>IF(A25="","","FAC-"&amp;TEXT(ROW()-5,"0000"))</x:f>
      </x:c>
    </x:row>
    <x:row r="26">
      <x:c r="A26" s="63"/>
      <x:c r="B26" s="17" t="str"/>
      <x:c r="C26" s="17" t="str"/>
      <x:c r="D26" s="17" t="str"/>
      <x:c r="E26" s="18"/>
      <x:c r="F26" s="18"/>
      <x:c r="G26" s="18" t="str">
        <x:f>IF(E26="","",E26-F26)</x:f>
      </x:c>
      <x:c r="H26" s="63"/>
      <x:c r="I26" s="17" t="str">
        <x:f>IF(A26="","",IF(G26&lt;=0,"Pagada",IF(H26&lt;TODAY(),"Vencida","Pendiente")))</x:f>
      </x:c>
      <x:c r="J26" s="17" t="str"/>
      <x:c r="K26" s="17" t="str">
        <x:f>IF(A26="","","FAC-"&amp;TEXT(ROW()-5,"0000"))</x:f>
      </x:c>
    </x:row>
    <x:row r="27">
      <x:c r="A27" s="63"/>
      <x:c r="B27" s="17" t="str"/>
      <x:c r="C27" s="17" t="str"/>
      <x:c r="D27" s="17" t="str"/>
      <x:c r="E27" s="18"/>
      <x:c r="F27" s="18"/>
      <x:c r="G27" s="18" t="str">
        <x:f>IF(E27="","",E27-F27)</x:f>
      </x:c>
      <x:c r="H27" s="63"/>
      <x:c r="I27" s="17" t="str">
        <x:f>IF(A27="","",IF(G27&lt;=0,"Pagada",IF(H27&lt;TODAY(),"Vencida","Pendiente")))</x:f>
      </x:c>
      <x:c r="J27" s="17" t="str"/>
      <x:c r="K27" s="17" t="str">
        <x:f>IF(A27="","","FAC-"&amp;TEXT(ROW()-5,"0000"))</x:f>
      </x:c>
    </x:row>
    <x:row r="28">
      <x:c r="A28" s="63"/>
      <x:c r="B28" s="17" t="str"/>
      <x:c r="C28" s="17" t="str"/>
      <x:c r="D28" s="17" t="str"/>
      <x:c r="E28" s="18"/>
      <x:c r="F28" s="18"/>
      <x:c r="G28" s="18" t="str">
        <x:f>IF(E28="","",E28-F28)</x:f>
      </x:c>
      <x:c r="H28" s="63"/>
      <x:c r="I28" s="17" t="str">
        <x:f>IF(A28="","",IF(G28&lt;=0,"Pagada",IF(H28&lt;TODAY(),"Vencida","Pendiente")))</x:f>
      </x:c>
      <x:c r="J28" s="17" t="str"/>
      <x:c r="K28" s="17" t="str">
        <x:f>IF(A28="","","FAC-"&amp;TEXT(ROW()-5,"0000"))</x:f>
      </x:c>
    </x:row>
    <x:row r="29">
      <x:c r="A29" s="63"/>
      <x:c r="B29" s="17" t="str"/>
      <x:c r="C29" s="17" t="str"/>
      <x:c r="D29" s="17" t="str"/>
      <x:c r="E29" s="18"/>
      <x:c r="F29" s="18"/>
      <x:c r="G29" s="18" t="str">
        <x:f>IF(E29="","",E29-F29)</x:f>
      </x:c>
      <x:c r="H29" s="63"/>
      <x:c r="I29" s="17" t="str">
        <x:f>IF(A29="","",IF(G29&lt;=0,"Pagada",IF(H29&lt;TODAY(),"Vencida","Pendiente")))</x:f>
      </x:c>
      <x:c r="J29" s="17" t="str"/>
      <x:c r="K29" s="17" t="str">
        <x:f>IF(A29="","","FAC-"&amp;TEXT(ROW()-5,"0000"))</x:f>
      </x:c>
    </x:row>
    <x:row r="30">
      <x:c r="A30" s="63"/>
      <x:c r="B30" s="17" t="str"/>
      <x:c r="C30" s="17" t="str"/>
      <x:c r="D30" s="17" t="str"/>
      <x:c r="E30" s="18"/>
      <x:c r="F30" s="18"/>
      <x:c r="G30" s="18" t="str">
        <x:f>IF(E30="","",E30-F30)</x:f>
      </x:c>
      <x:c r="H30" s="63"/>
      <x:c r="I30" s="17" t="str">
        <x:f>IF(A30="","",IF(G30&lt;=0,"Pagada",IF(H30&lt;TODAY(),"Vencida","Pendiente")))</x:f>
      </x:c>
      <x:c r="J30" s="17" t="str"/>
      <x:c r="K30" s="17" t="str">
        <x:f>IF(A30="","","FAC-"&amp;TEXT(ROW()-5,"0000"))</x:f>
      </x:c>
    </x:row>
    <x:row r="31">
      <x:c r="A31" s="63"/>
      <x:c r="B31" s="17" t="str"/>
      <x:c r="C31" s="17" t="str"/>
      <x:c r="D31" s="17" t="str"/>
      <x:c r="E31" s="18"/>
      <x:c r="F31" s="18"/>
      <x:c r="G31" s="18" t="str">
        <x:f>IF(E31="","",E31-F31)</x:f>
      </x:c>
      <x:c r="H31" s="63"/>
      <x:c r="I31" s="17" t="str">
        <x:f>IF(A31="","",IF(G31&lt;=0,"Pagada",IF(H31&lt;TODAY(),"Vencida","Pendiente")))</x:f>
      </x:c>
      <x:c r="J31" s="17" t="str"/>
      <x:c r="K31" s="17" t="str">
        <x:f>IF(A31="","","FAC-"&amp;TEXT(ROW()-5,"0000"))</x:f>
      </x:c>
    </x:row>
    <x:row r="32">
      <x:c r="A32" s="63"/>
      <x:c r="B32" s="17" t="str"/>
      <x:c r="C32" s="17" t="str"/>
      <x:c r="D32" s="17" t="str"/>
      <x:c r="E32" s="18"/>
      <x:c r="F32" s="18"/>
      <x:c r="G32" s="18" t="str">
        <x:f>IF(E32="","",E32-F32)</x:f>
      </x:c>
      <x:c r="H32" s="63"/>
      <x:c r="I32" s="17" t="str">
        <x:f>IF(A32="","",IF(G32&lt;=0,"Pagada",IF(H32&lt;TODAY(),"Vencida","Pendiente")))</x:f>
      </x:c>
      <x:c r="J32" s="17" t="str"/>
      <x:c r="K32" s="17" t="str">
        <x:f>IF(A32="","","FAC-"&amp;TEXT(ROW()-5,"0000"))</x:f>
      </x:c>
    </x:row>
    <x:row r="33">
      <x:c r="A33" s="63"/>
      <x:c r="B33" s="17" t="str"/>
      <x:c r="C33" s="17" t="str"/>
      <x:c r="D33" s="17" t="str"/>
      <x:c r="E33" s="18"/>
      <x:c r="F33" s="18"/>
      <x:c r="G33" s="18" t="str">
        <x:f>IF(E33="","",E33-F33)</x:f>
      </x:c>
      <x:c r="H33" s="63"/>
      <x:c r="I33" s="17" t="str">
        <x:f>IF(A33="","",IF(G33&lt;=0,"Pagada",IF(H33&lt;TODAY(),"Vencida","Pendiente")))</x:f>
      </x:c>
      <x:c r="J33" s="17" t="str"/>
      <x:c r="K33" s="17" t="str">
        <x:f>IF(A33="","","FAC-"&amp;TEXT(ROW()-5,"0000"))</x:f>
      </x:c>
    </x:row>
    <x:row r="34">
      <x:c r="A34" s="63"/>
      <x:c r="B34" s="17" t="str"/>
      <x:c r="C34" s="17" t="str"/>
      <x:c r="D34" s="17" t="str"/>
      <x:c r="E34" s="18"/>
      <x:c r="F34" s="18"/>
      <x:c r="G34" s="18" t="str">
        <x:f>IF(E34="","",E34-F34)</x:f>
      </x:c>
      <x:c r="H34" s="63"/>
      <x:c r="I34" s="17" t="str">
        <x:f>IF(A34="","",IF(G34&lt;=0,"Pagada",IF(H34&lt;TODAY(),"Vencida","Pendiente")))</x:f>
      </x:c>
      <x:c r="J34" s="17" t="str"/>
      <x:c r="K34" s="17" t="str">
        <x:f>IF(A34="","","FAC-"&amp;TEXT(ROW()-5,"0000"))</x:f>
      </x:c>
    </x:row>
    <x:row r="35">
      <x:c r="A35" s="63"/>
      <x:c r="B35" s="17" t="str"/>
      <x:c r="C35" s="17" t="str"/>
      <x:c r="D35" s="17" t="str"/>
      <x:c r="E35" s="18"/>
      <x:c r="F35" s="18"/>
      <x:c r="G35" s="18" t="str">
        <x:f>IF(E35="","",E35-F35)</x:f>
      </x:c>
      <x:c r="H35" s="63"/>
      <x:c r="I35" s="17" t="str">
        <x:f>IF(A35="","",IF(G35&lt;=0,"Pagada",IF(H35&lt;TODAY(),"Vencida","Pendiente")))</x:f>
      </x:c>
      <x:c r="J35" s="17" t="str"/>
      <x:c r="K35" s="17" t="str">
        <x:f>IF(A35="","","FAC-"&amp;TEXT(ROW()-5,"0000"))</x:f>
      </x:c>
    </x:row>
    <x:row r="36">
      <x:c r="A36" s="63"/>
      <x:c r="B36" s="17" t="str"/>
      <x:c r="C36" s="17" t="str"/>
      <x:c r="D36" s="17" t="str"/>
      <x:c r="E36" s="18"/>
      <x:c r="F36" s="18"/>
      <x:c r="G36" s="18" t="str">
        <x:f>IF(E36="","",E36-F36)</x:f>
      </x:c>
      <x:c r="H36" s="63"/>
      <x:c r="I36" s="17" t="str">
        <x:f>IF(A36="","",IF(G36&lt;=0,"Pagada",IF(H36&lt;TODAY(),"Vencida","Pendiente")))</x:f>
      </x:c>
      <x:c r="J36" s="17" t="str"/>
      <x:c r="K36" s="17" t="str">
        <x:f>IF(A36="","","FAC-"&amp;TEXT(ROW()-5,"0000"))</x:f>
      </x:c>
    </x:row>
    <x:row r="37">
      <x:c r="A37" s="63"/>
      <x:c r="B37" s="17" t="str"/>
      <x:c r="C37" s="17" t="str"/>
      <x:c r="D37" s="17" t="str"/>
      <x:c r="E37" s="18"/>
      <x:c r="F37" s="18"/>
      <x:c r="G37" s="18" t="str">
        <x:f>IF(E37="","",E37-F37)</x:f>
      </x:c>
      <x:c r="H37" s="63"/>
      <x:c r="I37" s="17" t="str">
        <x:f>IF(A37="","",IF(G37&lt;=0,"Pagada",IF(H37&lt;TODAY(),"Vencida","Pendiente")))</x:f>
      </x:c>
      <x:c r="J37" s="17" t="str"/>
      <x:c r="K37" s="17" t="str">
        <x:f>IF(A37="","","FAC-"&amp;TEXT(ROW()-5,"0000"))</x:f>
      </x:c>
    </x:row>
    <x:row r="38">
      <x:c r="A38" s="63"/>
      <x:c r="B38" s="17" t="str"/>
      <x:c r="C38" s="17" t="str"/>
      <x:c r="D38" s="17" t="str"/>
      <x:c r="E38" s="18"/>
      <x:c r="F38" s="18"/>
      <x:c r="G38" s="18" t="str">
        <x:f>IF(E38="","",E38-F38)</x:f>
      </x:c>
      <x:c r="H38" s="63"/>
      <x:c r="I38" s="17" t="str">
        <x:f>IF(A38="","",IF(G38&lt;=0,"Pagada",IF(H38&lt;TODAY(),"Vencida","Pendiente")))</x:f>
      </x:c>
      <x:c r="J38" s="17" t="str"/>
      <x:c r="K38" s="17" t="str">
        <x:f>IF(A38="","","FAC-"&amp;TEXT(ROW()-5,"0000"))</x:f>
      </x:c>
    </x:row>
    <x:row r="39">
      <x:c r="A39" s="63"/>
      <x:c r="B39" s="17" t="str"/>
      <x:c r="C39" s="17" t="str"/>
      <x:c r="D39" s="17" t="str"/>
      <x:c r="E39" s="18"/>
      <x:c r="F39" s="18"/>
      <x:c r="G39" s="18" t="str">
        <x:f>IF(E39="","",E39-F39)</x:f>
      </x:c>
      <x:c r="H39" s="63"/>
      <x:c r="I39" s="17" t="str">
        <x:f>IF(A39="","",IF(G39&lt;=0,"Pagada",IF(H39&lt;TODAY(),"Vencida","Pendiente")))</x:f>
      </x:c>
      <x:c r="J39" s="17" t="str"/>
      <x:c r="K39" s="17" t="str">
        <x:f>IF(A39="","","FAC-"&amp;TEXT(ROW()-5,"0000"))</x:f>
      </x:c>
    </x:row>
    <x:row r="40">
      <x:c r="A40" s="63"/>
      <x:c r="B40" s="17" t="str"/>
      <x:c r="C40" s="17" t="str"/>
      <x:c r="D40" s="17" t="str"/>
      <x:c r="E40" s="18"/>
      <x:c r="F40" s="18"/>
      <x:c r="G40" s="18" t="str">
        <x:f>IF(E40="","",E40-F40)</x:f>
      </x:c>
      <x:c r="H40" s="63"/>
      <x:c r="I40" s="17" t="str">
        <x:f>IF(A40="","",IF(G40&lt;=0,"Pagada",IF(H40&lt;TODAY(),"Vencida","Pendiente")))</x:f>
      </x:c>
      <x:c r="J40" s="17" t="str"/>
      <x:c r="K40" s="17" t="str">
        <x:f>IF(A40="","","FAC-"&amp;TEXT(ROW()-5,"0000"))</x:f>
      </x:c>
    </x:row>
    <x:row r="41">
      <x:c r="A41" s="63"/>
      <x:c r="B41" s="17" t="str"/>
      <x:c r="C41" s="17" t="str"/>
      <x:c r="D41" s="17" t="str"/>
      <x:c r="E41" s="18"/>
      <x:c r="F41" s="18"/>
      <x:c r="G41" s="18" t="str">
        <x:f>IF(E41="","",E41-F41)</x:f>
      </x:c>
      <x:c r="H41" s="63"/>
      <x:c r="I41" s="17" t="str">
        <x:f>IF(A41="","",IF(G41&lt;=0,"Pagada",IF(H41&lt;TODAY(),"Vencida","Pendiente")))</x:f>
      </x:c>
      <x:c r="J41" s="17" t="str"/>
      <x:c r="K41" s="17" t="str">
        <x:f>IF(A41="","","FAC-"&amp;TEXT(ROW()-5,"0000"))</x:f>
      </x:c>
    </x:row>
    <x:row r="42">
      <x:c r="A42" s="63"/>
      <x:c r="B42" s="17" t="str"/>
      <x:c r="C42" s="17" t="str"/>
      <x:c r="D42" s="17" t="str"/>
      <x:c r="E42" s="18"/>
      <x:c r="F42" s="18"/>
      <x:c r="G42" s="18" t="str">
        <x:f>IF(E42="","",E42-F42)</x:f>
      </x:c>
      <x:c r="H42" s="63"/>
      <x:c r="I42" s="17" t="str">
        <x:f>IF(A42="","",IF(G42&lt;=0,"Pagada",IF(H42&lt;TODAY(),"Vencida","Pendiente")))</x:f>
      </x:c>
      <x:c r="J42" s="17" t="str"/>
      <x:c r="K42" s="17" t="str">
        <x:f>IF(A42="","","FAC-"&amp;TEXT(ROW()-5,"0000"))</x:f>
      </x:c>
    </x:row>
    <x:row r="43">
      <x:c r="A43" s="63"/>
      <x:c r="B43" s="17" t="str"/>
      <x:c r="C43" s="17" t="str"/>
      <x:c r="D43" s="17" t="str"/>
      <x:c r="E43" s="18"/>
      <x:c r="F43" s="18"/>
      <x:c r="G43" s="18" t="str">
        <x:f>IF(E43="","",E43-F43)</x:f>
      </x:c>
      <x:c r="H43" s="63"/>
      <x:c r="I43" s="17" t="str">
        <x:f>IF(A43="","",IF(G43&lt;=0,"Pagada",IF(H43&lt;TODAY(),"Vencida","Pendiente")))</x:f>
      </x:c>
      <x:c r="J43" s="17" t="str"/>
      <x:c r="K43" s="17" t="str">
        <x:f>IF(A43="","","FAC-"&amp;TEXT(ROW()-5,"0000"))</x:f>
      </x:c>
    </x:row>
    <x:row r="44">
      <x:c r="A44" s="63"/>
      <x:c r="B44" s="17" t="str"/>
      <x:c r="C44" s="17" t="str"/>
      <x:c r="D44" s="17" t="str"/>
      <x:c r="E44" s="18"/>
      <x:c r="F44" s="18"/>
      <x:c r="G44" s="18" t="str">
        <x:f>IF(E44="","",E44-F44)</x:f>
      </x:c>
      <x:c r="H44" s="63"/>
      <x:c r="I44" s="17" t="str">
        <x:f>IF(A44="","",IF(G44&lt;=0,"Pagada",IF(H44&lt;TODAY(),"Vencida","Pendiente")))</x:f>
      </x:c>
      <x:c r="J44" s="17" t="str"/>
      <x:c r="K44" s="17" t="str">
        <x:f>IF(A44="","","FAC-"&amp;TEXT(ROW()-5,"0000"))</x:f>
      </x:c>
    </x:row>
    <x:row r="45">
      <x:c r="A45" s="63"/>
      <x:c r="B45" s="17" t="str"/>
      <x:c r="C45" s="17" t="str"/>
      <x:c r="D45" s="17" t="str"/>
      <x:c r="E45" s="18"/>
      <x:c r="F45" s="18"/>
      <x:c r="G45" s="18" t="str">
        <x:f>IF(E45="","",E45-F45)</x:f>
      </x:c>
      <x:c r="H45" s="63"/>
      <x:c r="I45" s="17" t="str">
        <x:f>IF(A45="","",IF(G45&lt;=0,"Pagada",IF(H45&lt;TODAY(),"Vencida","Pendiente")))</x:f>
      </x:c>
      <x:c r="J45" s="17" t="str"/>
      <x:c r="K45" s="17" t="str">
        <x:f>IF(A45="","","FAC-"&amp;TEXT(ROW()-5,"0000"))</x:f>
      </x:c>
    </x:row>
    <x:row r="46">
      <x:c r="A46" s="63"/>
      <x:c r="B46" s="17" t="str"/>
      <x:c r="C46" s="17" t="str"/>
      <x:c r="D46" s="17" t="str"/>
      <x:c r="E46" s="18"/>
      <x:c r="F46" s="18"/>
      <x:c r="G46" s="18" t="str">
        <x:f>IF(E46="","",E46-F46)</x:f>
      </x:c>
      <x:c r="H46" s="63"/>
      <x:c r="I46" s="17" t="str">
        <x:f>IF(A46="","",IF(G46&lt;=0,"Pagada",IF(H46&lt;TODAY(),"Vencida","Pendiente")))</x:f>
      </x:c>
      <x:c r="J46" s="17" t="str"/>
      <x:c r="K46" s="17" t="str">
        <x:f>IF(A46="","","FAC-"&amp;TEXT(ROW()-5,"0000"))</x:f>
      </x:c>
    </x:row>
    <x:row r="47">
      <x:c r="A47" s="63"/>
      <x:c r="B47" s="17" t="str"/>
      <x:c r="C47" s="17" t="str"/>
      <x:c r="D47" s="17" t="str"/>
      <x:c r="E47" s="18"/>
      <x:c r="F47" s="18"/>
      <x:c r="G47" s="18" t="str">
        <x:f>IF(E47="","",E47-F47)</x:f>
      </x:c>
      <x:c r="H47" s="63"/>
      <x:c r="I47" s="17" t="str">
        <x:f>IF(A47="","",IF(G47&lt;=0,"Pagada",IF(H47&lt;TODAY(),"Vencida","Pendiente")))</x:f>
      </x:c>
      <x:c r="J47" s="17" t="str"/>
      <x:c r="K47" s="17" t="str">
        <x:f>IF(A47="","","FAC-"&amp;TEXT(ROW()-5,"0000"))</x:f>
      </x:c>
    </x:row>
    <x:row r="48">
      <x:c r="A48" s="63"/>
      <x:c r="B48" s="17" t="str"/>
      <x:c r="C48" s="17" t="str"/>
      <x:c r="D48" s="17" t="str"/>
      <x:c r="E48" s="18"/>
      <x:c r="F48" s="18"/>
      <x:c r="G48" s="18" t="str">
        <x:f>IF(E48="","",E48-F48)</x:f>
      </x:c>
      <x:c r="H48" s="63"/>
      <x:c r="I48" s="17" t="str">
        <x:f>IF(A48="","",IF(G48&lt;=0,"Pagada",IF(H48&lt;TODAY(),"Vencida","Pendiente")))</x:f>
      </x:c>
      <x:c r="J48" s="17" t="str"/>
      <x:c r="K48" s="17" t="str">
        <x:f>IF(A48="","","FAC-"&amp;TEXT(ROW()-5,"0000"))</x:f>
      </x:c>
    </x:row>
    <x:row r="49">
      <x:c r="A49" s="63"/>
      <x:c r="B49" s="17" t="str"/>
      <x:c r="C49" s="17" t="str"/>
      <x:c r="D49" s="17" t="str"/>
      <x:c r="E49" s="18"/>
      <x:c r="F49" s="18"/>
      <x:c r="G49" s="18" t="str">
        <x:f>IF(E49="","",E49-F49)</x:f>
      </x:c>
      <x:c r="H49" s="63"/>
      <x:c r="I49" s="17" t="str">
        <x:f>IF(A49="","",IF(G49&lt;=0,"Pagada",IF(H49&lt;TODAY(),"Vencida","Pendiente")))</x:f>
      </x:c>
      <x:c r="J49" s="17" t="str"/>
      <x:c r="K49" s="17" t="str">
        <x:f>IF(A49="","","FAC-"&amp;TEXT(ROW()-5,"0000"))</x:f>
      </x:c>
    </x:row>
    <x:row r="50">
      <x:c r="A50" s="63"/>
      <x:c r="B50" s="17" t="str"/>
      <x:c r="C50" s="17" t="str"/>
      <x:c r="D50" s="17" t="str"/>
      <x:c r="E50" s="18"/>
      <x:c r="F50" s="18"/>
      <x:c r="G50" s="18" t="str">
        <x:f>IF(E50="","",E50-F50)</x:f>
      </x:c>
      <x:c r="H50" s="63"/>
      <x:c r="I50" s="17" t="str">
        <x:f>IF(A50="","",IF(G50&lt;=0,"Pagada",IF(H50&lt;TODAY(),"Vencida","Pendiente")))</x:f>
      </x:c>
      <x:c r="J50" s="17" t="str"/>
      <x:c r="K50" s="17" t="str">
        <x:f>IF(A50="","","FAC-"&amp;TEXT(ROW()-5,"0000"))</x:f>
      </x:c>
    </x:row>
    <x:row r="51">
      <x:c r="A51" s="63"/>
      <x:c r="B51" s="17" t="str"/>
      <x:c r="C51" s="17" t="str"/>
      <x:c r="D51" s="17" t="str"/>
      <x:c r="E51" s="18"/>
      <x:c r="F51" s="18"/>
      <x:c r="G51" s="18" t="str">
        <x:f>IF(E51="","",E51-F51)</x:f>
      </x:c>
      <x:c r="H51" s="63"/>
      <x:c r="I51" s="17" t="str">
        <x:f>IF(A51="","",IF(G51&lt;=0,"Pagada",IF(H51&lt;TODAY(),"Vencida","Pendiente")))</x:f>
      </x:c>
      <x:c r="J51" s="17" t="str"/>
      <x:c r="K51" s="17" t="str">
        <x:f>IF(A51="","","FAC-"&amp;TEXT(ROW()-5,"0000"))</x:f>
      </x:c>
    </x:row>
    <x:row r="52">
      <x:c r="A52" s="63"/>
      <x:c r="B52" s="17" t="str"/>
      <x:c r="C52" s="17" t="str"/>
      <x:c r="D52" s="17" t="str"/>
      <x:c r="E52" s="18"/>
      <x:c r="F52" s="18"/>
      <x:c r="G52" s="18" t="str">
        <x:f>IF(E52="","",E52-F52)</x:f>
      </x:c>
      <x:c r="H52" s="63"/>
      <x:c r="I52" s="17" t="str">
        <x:f>IF(A52="","",IF(G52&lt;=0,"Pagada",IF(H52&lt;TODAY(),"Vencida","Pendiente")))</x:f>
      </x:c>
      <x:c r="J52" s="17" t="str"/>
      <x:c r="K52" s="17" t="str">
        <x:f>IF(A52="","","FAC-"&amp;TEXT(ROW()-5,"0000"))</x:f>
      </x:c>
    </x:row>
    <x:row r="53">
      <x:c r="A53" s="63"/>
      <x:c r="B53" s="17" t="str"/>
      <x:c r="C53" s="17" t="str"/>
      <x:c r="D53" s="17" t="str"/>
      <x:c r="E53" s="18"/>
      <x:c r="F53" s="18"/>
      <x:c r="G53" s="18" t="str">
        <x:f>IF(E53="","",E53-F53)</x:f>
      </x:c>
      <x:c r="H53" s="63"/>
      <x:c r="I53" s="17" t="str">
        <x:f>IF(A53="","",IF(G53&lt;=0,"Pagada",IF(H53&lt;TODAY(),"Vencida","Pendiente")))</x:f>
      </x:c>
      <x:c r="J53" s="17" t="str"/>
      <x:c r="K53" s="17" t="str">
        <x:f>IF(A53="","","FAC-"&amp;TEXT(ROW()-5,"0000"))</x:f>
      </x:c>
    </x:row>
    <x:row r="54">
      <x:c r="A54" s="63"/>
      <x:c r="B54" s="17" t="str"/>
      <x:c r="C54" s="17" t="str"/>
      <x:c r="D54" s="17" t="str"/>
      <x:c r="E54" s="18"/>
      <x:c r="F54" s="18"/>
      <x:c r="G54" s="18" t="str">
        <x:f>IF(E54="","",E54-F54)</x:f>
      </x:c>
      <x:c r="H54" s="63"/>
      <x:c r="I54" s="17" t="str">
        <x:f>IF(A54="","",IF(G54&lt;=0,"Pagada",IF(H54&lt;TODAY(),"Vencida","Pendiente")))</x:f>
      </x:c>
      <x:c r="J54" s="17" t="str"/>
      <x:c r="K54" s="17" t="str">
        <x:f>IF(A54="","","FAC-"&amp;TEXT(ROW()-5,"0000"))</x:f>
      </x:c>
    </x:row>
    <x:row r="55">
      <x:c r="A55" s="63"/>
      <x:c r="B55" s="17" t="str"/>
      <x:c r="C55" s="17" t="str"/>
      <x:c r="D55" s="17" t="str"/>
      <x:c r="E55" s="18"/>
      <x:c r="F55" s="18"/>
      <x:c r="G55" s="18" t="str">
        <x:f>IF(E55="","",E55-F55)</x:f>
      </x:c>
      <x:c r="H55" s="63"/>
      <x:c r="I55" s="17" t="str">
        <x:f>IF(A55="","",IF(G55&lt;=0,"Pagada",IF(H55&lt;TODAY(),"Vencida","Pendiente")))</x:f>
      </x:c>
      <x:c r="J55" s="17" t="str"/>
      <x:c r="K55" s="17" t="str">
        <x:f>IF(A55="","","FAC-"&amp;TEXT(ROW()-5,"0000"))</x:f>
      </x:c>
    </x:row>
    <x:row r="56">
      <x:c r="A56" s="63"/>
      <x:c r="B56" s="17" t="str"/>
      <x:c r="C56" s="17" t="str"/>
      <x:c r="D56" s="17" t="str"/>
      <x:c r="E56" s="18"/>
      <x:c r="F56" s="18"/>
      <x:c r="G56" s="18" t="str">
        <x:f>IF(E56="","",E56-F56)</x:f>
      </x:c>
      <x:c r="H56" s="63"/>
      <x:c r="I56" s="17" t="str">
        <x:f>IF(A56="","",IF(G56&lt;=0,"Pagada",IF(H56&lt;TODAY(),"Vencida","Pendiente")))</x:f>
      </x:c>
      <x:c r="J56" s="17" t="str"/>
      <x:c r="K56" s="17" t="str">
        <x:f>IF(A56="","","FAC-"&amp;TEXT(ROW()-5,"0000"))</x:f>
      </x:c>
    </x:row>
    <x:row r="57">
      <x:c r="A57" s="63"/>
      <x:c r="B57" s="17" t="str"/>
      <x:c r="C57" s="17" t="str"/>
      <x:c r="D57" s="17" t="str"/>
      <x:c r="E57" s="18"/>
      <x:c r="F57" s="18"/>
      <x:c r="G57" s="18" t="str">
        <x:f>IF(E57="","",E57-F57)</x:f>
      </x:c>
      <x:c r="H57" s="63"/>
      <x:c r="I57" s="17" t="str">
        <x:f>IF(A57="","",IF(G57&lt;=0,"Pagada",IF(H57&lt;TODAY(),"Vencida","Pendiente")))</x:f>
      </x:c>
      <x:c r="J57" s="17" t="str"/>
      <x:c r="K57" s="17" t="str">
        <x:f>IF(A57="","","FAC-"&amp;TEXT(ROW()-5,"0000"))</x:f>
      </x:c>
    </x:row>
    <x:row r="58">
      <x:c r="A58" s="63"/>
      <x:c r="B58" s="17" t="str"/>
      <x:c r="C58" s="17" t="str"/>
      <x:c r="D58" s="17" t="str"/>
      <x:c r="E58" s="18"/>
      <x:c r="F58" s="18"/>
      <x:c r="G58" s="18" t="str">
        <x:f>IF(E58="","",E58-F58)</x:f>
      </x:c>
      <x:c r="H58" s="63"/>
      <x:c r="I58" s="17" t="str">
        <x:f>IF(A58="","",IF(G58&lt;=0,"Pagada",IF(H58&lt;TODAY(),"Vencida","Pendiente")))</x:f>
      </x:c>
      <x:c r="J58" s="17" t="str"/>
      <x:c r="K58" s="17" t="str">
        <x:f>IF(A58="","","FAC-"&amp;TEXT(ROW()-5,"0000"))</x:f>
      </x:c>
    </x:row>
    <x:row r="59">
      <x:c r="A59" s="63"/>
      <x:c r="B59" s="17" t="str"/>
      <x:c r="C59" s="17" t="str"/>
      <x:c r="D59" s="17" t="str"/>
      <x:c r="E59" s="18"/>
      <x:c r="F59" s="18"/>
      <x:c r="G59" s="18" t="str">
        <x:f>IF(E59="","",E59-F59)</x:f>
      </x:c>
      <x:c r="H59" s="63"/>
      <x:c r="I59" s="17" t="str">
        <x:f>IF(A59="","",IF(G59&lt;=0,"Pagada",IF(H59&lt;TODAY(),"Vencida","Pendiente")))</x:f>
      </x:c>
      <x:c r="J59" s="17" t="str"/>
      <x:c r="K59" s="17" t="str">
        <x:f>IF(A59="","","FAC-"&amp;TEXT(ROW()-5,"0000"))</x:f>
      </x:c>
    </x:row>
    <x:row r="60">
      <x:c r="A60" s="63"/>
      <x:c r="B60" s="17" t="str"/>
      <x:c r="C60" s="17" t="str"/>
      <x:c r="D60" s="17" t="str"/>
      <x:c r="E60" s="18"/>
      <x:c r="F60" s="18"/>
      <x:c r="G60" s="18" t="str">
        <x:f>IF(E60="","",E60-F60)</x:f>
      </x:c>
      <x:c r="H60" s="63"/>
      <x:c r="I60" s="17" t="str">
        <x:f>IF(A60="","",IF(G60&lt;=0,"Pagada",IF(H60&lt;TODAY(),"Vencida","Pendiente")))</x:f>
      </x:c>
      <x:c r="J60" s="17" t="str"/>
      <x:c r="K60" s="17" t="str">
        <x:f>IF(A60="","","FAC-"&amp;TEXT(ROW()-5,"0000"))</x:f>
      </x:c>
    </x:row>
    <x:row r="61">
      <x:c r="A61" s="63"/>
      <x:c r="B61" s="17" t="str"/>
      <x:c r="C61" s="17" t="str"/>
      <x:c r="D61" s="17" t="str"/>
      <x:c r="E61" s="18"/>
      <x:c r="F61" s="18"/>
      <x:c r="G61" s="18" t="str">
        <x:f>IF(E61="","",E61-F61)</x:f>
      </x:c>
      <x:c r="H61" s="63"/>
      <x:c r="I61" s="17" t="str">
        <x:f>IF(A61="","",IF(G61&lt;=0,"Pagada",IF(H61&lt;TODAY(),"Vencida","Pendiente")))</x:f>
      </x:c>
      <x:c r="J61" s="17" t="str"/>
      <x:c r="K61" s="17" t="str">
        <x:f>IF(A61="","","FAC-"&amp;TEXT(ROW()-5,"0000"))</x:f>
      </x:c>
    </x:row>
    <x:row r="62">
      <x:c r="A62" s="63"/>
      <x:c r="B62" s="17" t="str"/>
      <x:c r="C62" s="17" t="str"/>
      <x:c r="D62" s="17" t="str"/>
      <x:c r="E62" s="18"/>
      <x:c r="F62" s="18"/>
      <x:c r="G62" s="18" t="str">
        <x:f>IF(E62="","",E62-F62)</x:f>
      </x:c>
      <x:c r="H62" s="63"/>
      <x:c r="I62" s="17" t="str">
        <x:f>IF(A62="","",IF(G62&lt;=0,"Pagada",IF(H62&lt;TODAY(),"Vencida","Pendiente")))</x:f>
      </x:c>
      <x:c r="J62" s="17" t="str"/>
      <x:c r="K62" s="17" t="str">
        <x:f>IF(A62="","","FAC-"&amp;TEXT(ROW()-5,"0000"))</x:f>
      </x:c>
    </x:row>
    <x:row r="63">
      <x:c r="A63" s="63"/>
      <x:c r="B63" s="17" t="str"/>
      <x:c r="C63" s="17" t="str"/>
      <x:c r="D63" s="17" t="str"/>
      <x:c r="E63" s="18"/>
      <x:c r="F63" s="18"/>
      <x:c r="G63" s="18" t="str">
        <x:f>IF(E63="","",E63-F63)</x:f>
      </x:c>
      <x:c r="H63" s="63"/>
      <x:c r="I63" s="17" t="str">
        <x:f>IF(A63="","",IF(G63&lt;=0,"Pagada",IF(H63&lt;TODAY(),"Vencida","Pendiente")))</x:f>
      </x:c>
      <x:c r="J63" s="17" t="str"/>
      <x:c r="K63" s="17" t="str">
        <x:f>IF(A63="","","FAC-"&amp;TEXT(ROW()-5,"0000"))</x:f>
      </x:c>
    </x:row>
    <x:row r="64">
      <x:c r="A64" s="63"/>
      <x:c r="B64" s="17" t="str"/>
      <x:c r="C64" s="17" t="str"/>
      <x:c r="D64" s="17" t="str"/>
      <x:c r="E64" s="18"/>
      <x:c r="F64" s="18"/>
      <x:c r="G64" s="18" t="str">
        <x:f>IF(E64="","",E64-F64)</x:f>
      </x:c>
      <x:c r="H64" s="63"/>
      <x:c r="I64" s="17" t="str">
        <x:f>IF(A64="","",IF(G64&lt;=0,"Pagada",IF(H64&lt;TODAY(),"Vencida","Pendiente")))</x:f>
      </x:c>
      <x:c r="J64" s="17" t="str"/>
      <x:c r="K64" s="17" t="str">
        <x:f>IF(A64="","","FAC-"&amp;TEXT(ROW()-5,"0000"))</x:f>
      </x:c>
    </x:row>
    <x:row r="65">
      <x:c r="A65" s="63"/>
      <x:c r="B65" s="17" t="str"/>
      <x:c r="C65" s="17" t="str"/>
      <x:c r="D65" s="17" t="str"/>
      <x:c r="E65" s="18"/>
      <x:c r="F65" s="18"/>
      <x:c r="G65" s="18" t="str">
        <x:f>IF(E65="","",E65-F65)</x:f>
      </x:c>
      <x:c r="H65" s="63"/>
      <x:c r="I65" s="17" t="str">
        <x:f>IF(A65="","",IF(G65&lt;=0,"Pagada",IF(H65&lt;TODAY(),"Vencida","Pendiente")))</x:f>
      </x:c>
      <x:c r="J65" s="17" t="str"/>
      <x:c r="K65" s="17" t="str">
        <x:f>IF(A65="","","FAC-"&amp;TEXT(ROW()-5,"0000"))</x:f>
      </x:c>
    </x:row>
    <x:row r="66">
      <x:c r="A66" s="63"/>
      <x:c r="B66" s="17" t="str"/>
      <x:c r="C66" s="17" t="str"/>
      <x:c r="D66" s="17" t="str"/>
      <x:c r="E66" s="18"/>
      <x:c r="F66" s="18"/>
      <x:c r="G66" s="18" t="str">
        <x:f>IF(E66="","",E66-F66)</x:f>
      </x:c>
      <x:c r="H66" s="63"/>
      <x:c r="I66" s="17" t="str">
        <x:f>IF(A66="","",IF(G66&lt;=0,"Pagada",IF(H66&lt;TODAY(),"Vencida","Pendiente")))</x:f>
      </x:c>
      <x:c r="J66" s="17" t="str"/>
      <x:c r="K66" s="17" t="str">
        <x:f>IF(A66="","","FAC-"&amp;TEXT(ROW()-5,"0000"))</x:f>
      </x:c>
    </x:row>
    <x:row r="67">
      <x:c r="A67" s="63"/>
      <x:c r="B67" s="17" t="str"/>
      <x:c r="C67" s="17" t="str"/>
      <x:c r="D67" s="17" t="str"/>
      <x:c r="E67" s="18"/>
      <x:c r="F67" s="18"/>
      <x:c r="G67" s="18" t="str">
        <x:f>IF(E67="","",E67-F67)</x:f>
      </x:c>
      <x:c r="H67" s="63"/>
      <x:c r="I67" s="17" t="str">
        <x:f>IF(A67="","",IF(G67&lt;=0,"Pagada",IF(H67&lt;TODAY(),"Vencida","Pendiente")))</x:f>
      </x:c>
      <x:c r="J67" s="17" t="str"/>
      <x:c r="K67" s="17" t="str">
        <x:f>IF(A67="","","FAC-"&amp;TEXT(ROW()-5,"0000"))</x:f>
      </x:c>
    </x:row>
    <x:row r="68">
      <x:c r="A68" s="63"/>
      <x:c r="B68" s="17" t="str"/>
      <x:c r="C68" s="17" t="str"/>
      <x:c r="D68" s="17" t="str"/>
      <x:c r="E68" s="18"/>
      <x:c r="F68" s="18"/>
      <x:c r="G68" s="18" t="str">
        <x:f>IF(E68="","",E68-F68)</x:f>
      </x:c>
      <x:c r="H68" s="63"/>
      <x:c r="I68" s="17" t="str">
        <x:f>IF(A68="","",IF(G68&lt;=0,"Pagada",IF(H68&lt;TODAY(),"Vencida","Pendiente")))</x:f>
      </x:c>
      <x:c r="J68" s="17" t="str"/>
      <x:c r="K68" s="17" t="str">
        <x:f>IF(A68="","","FAC-"&amp;TEXT(ROW()-5,"0000"))</x:f>
      </x:c>
    </x:row>
    <x:row r="69">
      <x:c r="A69" s="63"/>
      <x:c r="B69" s="17" t="str"/>
      <x:c r="C69" s="17" t="str"/>
      <x:c r="D69" s="17" t="str"/>
      <x:c r="E69" s="18"/>
      <x:c r="F69" s="18"/>
      <x:c r="G69" s="18" t="str">
        <x:f>IF(E69="","",E69-F69)</x:f>
      </x:c>
      <x:c r="H69" s="63"/>
      <x:c r="I69" s="17" t="str">
        <x:f>IF(A69="","",IF(G69&lt;=0,"Pagada",IF(H69&lt;TODAY(),"Vencida","Pendiente")))</x:f>
      </x:c>
      <x:c r="J69" s="17" t="str"/>
      <x:c r="K69" s="17" t="str">
        <x:f>IF(A69="","","FAC-"&amp;TEXT(ROW()-5,"0000"))</x:f>
      </x:c>
    </x:row>
    <x:row r="70">
      <x:c r="A70" s="63"/>
      <x:c r="B70" s="17" t="str"/>
      <x:c r="C70" s="17" t="str"/>
      <x:c r="D70" s="17" t="str"/>
      <x:c r="E70" s="18"/>
      <x:c r="F70" s="18"/>
      <x:c r="G70" s="18" t="str">
        <x:f>IF(E70="","",E70-F70)</x:f>
      </x:c>
      <x:c r="H70" s="63"/>
      <x:c r="I70" s="17" t="str">
        <x:f>IF(A70="","",IF(G70&lt;=0,"Pagada",IF(H70&lt;TODAY(),"Vencida","Pendiente")))</x:f>
      </x:c>
      <x:c r="J70" s="17" t="str"/>
      <x:c r="K70" s="17" t="str">
        <x:f>IF(A70="","","FAC-"&amp;TEXT(ROW()-5,"0000"))</x:f>
      </x:c>
    </x:row>
    <x:row r="71">
      <x:c r="A71" s="63"/>
      <x:c r="B71" s="17" t="str"/>
      <x:c r="C71" s="17" t="str"/>
      <x:c r="D71" s="17" t="str"/>
      <x:c r="E71" s="18"/>
      <x:c r="F71" s="18"/>
      <x:c r="G71" s="18" t="str">
        <x:f>IF(E71="","",E71-F71)</x:f>
      </x:c>
      <x:c r="H71" s="63"/>
      <x:c r="I71" s="17" t="str">
        <x:f>IF(A71="","",IF(G71&lt;=0,"Pagada",IF(H71&lt;TODAY(),"Vencida","Pendiente")))</x:f>
      </x:c>
      <x:c r="J71" s="17" t="str"/>
      <x:c r="K71" s="17" t="str">
        <x:f>IF(A71="","","FAC-"&amp;TEXT(ROW()-5,"0000"))</x:f>
      </x:c>
    </x:row>
    <x:row r="72">
      <x:c r="A72" s="63"/>
      <x:c r="B72" s="17" t="str"/>
      <x:c r="C72" s="17" t="str"/>
      <x:c r="D72" s="17" t="str"/>
      <x:c r="E72" s="18"/>
      <x:c r="F72" s="18"/>
      <x:c r="G72" s="18" t="str">
        <x:f>IF(E72="","",E72-F72)</x:f>
      </x:c>
      <x:c r="H72" s="63"/>
      <x:c r="I72" s="17" t="str">
        <x:f>IF(A72="","",IF(G72&lt;=0,"Pagada",IF(H72&lt;TODAY(),"Vencida","Pendiente")))</x:f>
      </x:c>
      <x:c r="J72" s="17" t="str"/>
      <x:c r="K72" s="17" t="str">
        <x:f>IF(A72="","","FAC-"&amp;TEXT(ROW()-5,"0000"))</x:f>
      </x:c>
    </x:row>
    <x:row r="73">
      <x:c r="A73" s="63"/>
      <x:c r="B73" s="17" t="str"/>
      <x:c r="C73" s="17" t="str"/>
      <x:c r="D73" s="17" t="str"/>
      <x:c r="E73" s="18"/>
      <x:c r="F73" s="18"/>
      <x:c r="G73" s="18" t="str">
        <x:f>IF(E73="","",E73-F73)</x:f>
      </x:c>
      <x:c r="H73" s="63"/>
      <x:c r="I73" s="17" t="str">
        <x:f>IF(A73="","",IF(G73&lt;=0,"Pagada",IF(H73&lt;TODAY(),"Vencida","Pendiente")))</x:f>
      </x:c>
      <x:c r="J73" s="17" t="str"/>
      <x:c r="K73" s="17" t="str">
        <x:f>IF(A73="","","FAC-"&amp;TEXT(ROW()-5,"0000"))</x:f>
      </x:c>
    </x:row>
    <x:row r="74">
      <x:c r="A74" s="63"/>
      <x:c r="B74" s="17" t="str"/>
      <x:c r="C74" s="17" t="str"/>
      <x:c r="D74" s="17" t="str"/>
      <x:c r="E74" s="18"/>
      <x:c r="F74" s="18"/>
      <x:c r="G74" s="18" t="str">
        <x:f>IF(E74="","",E74-F74)</x:f>
      </x:c>
      <x:c r="H74" s="63"/>
      <x:c r="I74" s="17" t="str">
        <x:f>IF(A74="","",IF(G74&lt;=0,"Pagada",IF(H74&lt;TODAY(),"Vencida","Pendiente")))</x:f>
      </x:c>
      <x:c r="J74" s="17" t="str"/>
      <x:c r="K74" s="17" t="str">
        <x:f>IF(A74="","","FAC-"&amp;TEXT(ROW()-5,"0000"))</x:f>
      </x:c>
    </x:row>
    <x:row r="75">
      <x:c r="A75" s="63"/>
      <x:c r="B75" s="17" t="str"/>
      <x:c r="C75" s="17" t="str"/>
      <x:c r="D75" s="17" t="str"/>
      <x:c r="E75" s="18"/>
      <x:c r="F75" s="18"/>
      <x:c r="G75" s="18" t="str">
        <x:f>IF(E75="","",E75-F75)</x:f>
      </x:c>
      <x:c r="H75" s="63"/>
      <x:c r="I75" s="17" t="str">
        <x:f>IF(A75="","",IF(G75&lt;=0,"Pagada",IF(H75&lt;TODAY(),"Vencida","Pendiente")))</x:f>
      </x:c>
      <x:c r="J75" s="17" t="str"/>
      <x:c r="K75" s="17" t="str">
        <x:f>IF(A75="","","FAC-"&amp;TEXT(ROW()-5,"0000"))</x:f>
      </x:c>
    </x:row>
    <x:row r="76">
      <x:c r="A76" s="63"/>
      <x:c r="B76" s="17" t="str"/>
      <x:c r="C76" s="17" t="str"/>
      <x:c r="D76" s="17" t="str"/>
      <x:c r="E76" s="18"/>
      <x:c r="F76" s="18"/>
      <x:c r="G76" s="18" t="str">
        <x:f>IF(E76="","",E76-F76)</x:f>
      </x:c>
      <x:c r="H76" s="63"/>
      <x:c r="I76" s="17" t="str">
        <x:f>IF(A76="","",IF(G76&lt;=0,"Pagada",IF(H76&lt;TODAY(),"Vencida","Pendiente")))</x:f>
      </x:c>
      <x:c r="J76" s="17" t="str"/>
      <x:c r="K76" s="17" t="str">
        <x:f>IF(A76="","","FAC-"&amp;TEXT(ROW()-5,"0000"))</x:f>
      </x:c>
    </x:row>
    <x:row r="77">
      <x:c r="A77" s="63"/>
      <x:c r="B77" s="17" t="str"/>
      <x:c r="C77" s="17" t="str"/>
      <x:c r="D77" s="17" t="str"/>
      <x:c r="E77" s="18"/>
      <x:c r="F77" s="18"/>
      <x:c r="G77" s="18" t="str">
        <x:f>IF(E77="","",E77-F77)</x:f>
      </x:c>
      <x:c r="H77" s="63"/>
      <x:c r="I77" s="17" t="str">
        <x:f>IF(A77="","",IF(G77&lt;=0,"Pagada",IF(H77&lt;TODAY(),"Vencida","Pendiente")))</x:f>
      </x:c>
      <x:c r="J77" s="17" t="str"/>
      <x:c r="K77" s="17" t="str">
        <x:f>IF(A77="","","FAC-"&amp;TEXT(ROW()-5,"0000"))</x:f>
      </x:c>
    </x:row>
    <x:row r="78">
      <x:c r="A78" s="63"/>
      <x:c r="B78" s="17" t="str"/>
      <x:c r="C78" s="17" t="str"/>
      <x:c r="D78" s="17" t="str"/>
      <x:c r="E78" s="18"/>
      <x:c r="F78" s="18"/>
      <x:c r="G78" s="18" t="str">
        <x:f>IF(E78="","",E78-F78)</x:f>
      </x:c>
      <x:c r="H78" s="63"/>
      <x:c r="I78" s="17" t="str">
        <x:f>IF(A78="","",IF(G78&lt;=0,"Pagada",IF(H78&lt;TODAY(),"Vencida","Pendiente")))</x:f>
      </x:c>
      <x:c r="J78" s="17" t="str"/>
      <x:c r="K78" s="17" t="str">
        <x:f>IF(A78="","","FAC-"&amp;TEXT(ROW()-5,"0000"))</x:f>
      </x:c>
    </x:row>
    <x:row r="79">
      <x:c r="A79" s="63"/>
      <x:c r="B79" s="17" t="str"/>
      <x:c r="C79" s="17" t="str"/>
      <x:c r="D79" s="17" t="str"/>
      <x:c r="E79" s="18"/>
      <x:c r="F79" s="18"/>
      <x:c r="G79" s="18" t="str">
        <x:f>IF(E79="","",E79-F79)</x:f>
      </x:c>
      <x:c r="H79" s="63"/>
      <x:c r="I79" s="17" t="str">
        <x:f>IF(A79="","",IF(G79&lt;=0,"Pagada",IF(H79&lt;TODAY(),"Vencida","Pendiente")))</x:f>
      </x:c>
      <x:c r="J79" s="17" t="str"/>
      <x:c r="K79" s="17" t="str">
        <x:f>IF(A79="","","FAC-"&amp;TEXT(ROW()-5,"0000"))</x:f>
      </x:c>
    </x:row>
    <x:row r="80">
      <x:c r="A80" s="63"/>
      <x:c r="B80" s="17" t="str"/>
      <x:c r="C80" s="17" t="str"/>
      <x:c r="D80" s="17" t="str"/>
      <x:c r="E80" s="18"/>
      <x:c r="F80" s="18"/>
      <x:c r="G80" s="18" t="str">
        <x:f>IF(E80="","",E80-F80)</x:f>
      </x:c>
      <x:c r="H80" s="63"/>
      <x:c r="I80" s="17" t="str">
        <x:f>IF(A80="","",IF(G80&lt;=0,"Pagada",IF(H80&lt;TODAY(),"Vencida","Pendiente")))</x:f>
      </x:c>
      <x:c r="J80" s="17" t="str"/>
      <x:c r="K80" s="17" t="str">
        <x:f>IF(A80="","","FAC-"&amp;TEXT(ROW()-5,"0000"))</x:f>
      </x:c>
    </x:row>
    <x:row r="81">
      <x:c r="A81" s="63"/>
      <x:c r="B81" s="17" t="str"/>
      <x:c r="C81" s="17" t="str"/>
      <x:c r="D81" s="17" t="str"/>
      <x:c r="E81" s="18"/>
      <x:c r="F81" s="18"/>
      <x:c r="G81" s="18" t="str">
        <x:f>IF(E81="","",E81-F81)</x:f>
      </x:c>
      <x:c r="H81" s="63"/>
      <x:c r="I81" s="17" t="str">
        <x:f>IF(A81="","",IF(G81&lt;=0,"Pagada",IF(H81&lt;TODAY(),"Vencida","Pendiente")))</x:f>
      </x:c>
      <x:c r="J81" s="17" t="str"/>
      <x:c r="K81" s="17" t="str">
        <x:f>IF(A81="","","FAC-"&amp;TEXT(ROW()-5,"0000"))</x:f>
      </x:c>
    </x:row>
    <x:row r="82">
      <x:c r="A82" s="63"/>
      <x:c r="B82" s="17" t="str"/>
      <x:c r="C82" s="17" t="str"/>
      <x:c r="D82" s="17" t="str"/>
      <x:c r="E82" s="18"/>
      <x:c r="F82" s="18"/>
      <x:c r="G82" s="18" t="str">
        <x:f>IF(E82="","",E82-F82)</x:f>
      </x:c>
      <x:c r="H82" s="63"/>
      <x:c r="I82" s="17" t="str">
        <x:f>IF(A82="","",IF(G82&lt;=0,"Pagada",IF(H82&lt;TODAY(),"Vencida","Pendiente")))</x:f>
      </x:c>
      <x:c r="J82" s="17" t="str"/>
      <x:c r="K82" s="17" t="str">
        <x:f>IF(A82="","","FAC-"&amp;TEXT(ROW()-5,"0000"))</x:f>
      </x:c>
    </x:row>
    <x:row r="83">
      <x:c r="A83" s="63"/>
      <x:c r="B83" s="17" t="str"/>
      <x:c r="C83" s="17" t="str"/>
      <x:c r="D83" s="17" t="str"/>
      <x:c r="E83" s="18"/>
      <x:c r="F83" s="18"/>
      <x:c r="G83" s="18" t="str">
        <x:f>IF(E83="","",E83-F83)</x:f>
      </x:c>
      <x:c r="H83" s="63"/>
      <x:c r="I83" s="17" t="str">
        <x:f>IF(A83="","",IF(G83&lt;=0,"Pagada",IF(H83&lt;TODAY(),"Vencida","Pendiente")))</x:f>
      </x:c>
      <x:c r="J83" s="17" t="str"/>
      <x:c r="K83" s="17" t="str">
        <x:f>IF(A83="","","FAC-"&amp;TEXT(ROW()-5,"0000"))</x:f>
      </x:c>
    </x:row>
    <x:row r="84">
      <x:c r="A84" s="63"/>
      <x:c r="B84" s="17" t="str"/>
      <x:c r="C84" s="17" t="str"/>
      <x:c r="D84" s="17" t="str"/>
      <x:c r="E84" s="18"/>
      <x:c r="F84" s="18"/>
      <x:c r="G84" s="18" t="str">
        <x:f>IF(E84="","",E84-F84)</x:f>
      </x:c>
      <x:c r="H84" s="63"/>
      <x:c r="I84" s="17" t="str">
        <x:f>IF(A84="","",IF(G84&lt;=0,"Pagada",IF(H84&lt;TODAY(),"Vencida","Pendiente")))</x:f>
      </x:c>
      <x:c r="J84" s="17" t="str"/>
      <x:c r="K84" s="17" t="str">
        <x:f>IF(A84="","","FAC-"&amp;TEXT(ROW()-5,"0000"))</x:f>
      </x:c>
    </x:row>
    <x:row r="85">
      <x:c r="A85" s="63"/>
      <x:c r="B85" s="17" t="str"/>
      <x:c r="C85" s="17" t="str"/>
      <x:c r="D85" s="17" t="str"/>
      <x:c r="E85" s="18"/>
      <x:c r="F85" s="18"/>
      <x:c r="G85" s="18" t="str">
        <x:f>IF(E85="","",E85-F85)</x:f>
      </x:c>
      <x:c r="H85" s="63"/>
      <x:c r="I85" s="17" t="str">
        <x:f>IF(A85="","",IF(G85&lt;=0,"Pagada",IF(H85&lt;TODAY(),"Vencida","Pendiente")))</x:f>
      </x:c>
      <x:c r="J85" s="17" t="str"/>
      <x:c r="K85" s="17" t="str">
        <x:f>IF(A85="","","FAC-"&amp;TEXT(ROW()-5,"0000"))</x:f>
      </x:c>
    </x:row>
    <x:row r="86">
      <x:c r="A86" s="63"/>
      <x:c r="B86" s="17" t="str"/>
      <x:c r="C86" s="17" t="str"/>
      <x:c r="D86" s="17" t="str"/>
      <x:c r="E86" s="18"/>
      <x:c r="F86" s="18"/>
      <x:c r="G86" s="18" t="str">
        <x:f>IF(E86="","",E86-F86)</x:f>
      </x:c>
      <x:c r="H86" s="63"/>
      <x:c r="I86" s="17" t="str">
        <x:f>IF(A86="","",IF(G86&lt;=0,"Pagada",IF(H86&lt;TODAY(),"Vencida","Pendiente")))</x:f>
      </x:c>
      <x:c r="J86" s="17" t="str"/>
      <x:c r="K86" s="17" t="str">
        <x:f>IF(A86="","","FAC-"&amp;TEXT(ROW()-5,"0000"))</x:f>
      </x:c>
    </x:row>
    <x:row r="87">
      <x:c r="A87" s="63"/>
      <x:c r="B87" s="17" t="str"/>
      <x:c r="C87" s="17" t="str"/>
      <x:c r="D87" s="17" t="str"/>
      <x:c r="E87" s="18"/>
      <x:c r="F87" s="18"/>
      <x:c r="G87" s="18" t="str">
        <x:f>IF(E87="","",E87-F87)</x:f>
      </x:c>
      <x:c r="H87" s="63"/>
      <x:c r="I87" s="17" t="str">
        <x:f>IF(A87="","",IF(G87&lt;=0,"Pagada",IF(H87&lt;TODAY(),"Vencida","Pendiente")))</x:f>
      </x:c>
      <x:c r="J87" s="17" t="str"/>
      <x:c r="K87" s="17" t="str">
        <x:f>IF(A87="","","FAC-"&amp;TEXT(ROW()-5,"0000"))</x:f>
      </x:c>
    </x:row>
    <x:row r="88">
      <x:c r="A88" s="63"/>
      <x:c r="B88" s="17" t="str"/>
      <x:c r="C88" s="17" t="str"/>
      <x:c r="D88" s="17" t="str"/>
      <x:c r="E88" s="18"/>
      <x:c r="F88" s="18"/>
      <x:c r="G88" s="18" t="str">
        <x:f>IF(E88="","",E88-F88)</x:f>
      </x:c>
      <x:c r="H88" s="63"/>
      <x:c r="I88" s="17" t="str">
        <x:f>IF(A88="","",IF(G88&lt;=0,"Pagada",IF(H88&lt;TODAY(),"Vencida","Pendiente")))</x:f>
      </x:c>
      <x:c r="J88" s="17" t="str"/>
      <x:c r="K88" s="17" t="str">
        <x:f>IF(A88="","","FAC-"&amp;TEXT(ROW()-5,"0000"))</x:f>
      </x:c>
    </x:row>
    <x:row r="89">
      <x:c r="A89" s="63"/>
      <x:c r="B89" s="17" t="str"/>
      <x:c r="C89" s="17" t="str"/>
      <x:c r="D89" s="17" t="str"/>
      <x:c r="E89" s="18"/>
      <x:c r="F89" s="18"/>
      <x:c r="G89" s="18" t="str">
        <x:f>IF(E89="","",E89-F89)</x:f>
      </x:c>
      <x:c r="H89" s="63"/>
      <x:c r="I89" s="17" t="str">
        <x:f>IF(A89="","",IF(G89&lt;=0,"Pagada",IF(H89&lt;TODAY(),"Vencida","Pendiente")))</x:f>
      </x:c>
      <x:c r="J89" s="17" t="str"/>
      <x:c r="K89" s="17" t="str">
        <x:f>IF(A89="","","FAC-"&amp;TEXT(ROW()-5,"0000"))</x:f>
      </x:c>
    </x:row>
    <x:row r="90">
      <x:c r="A90" s="63"/>
      <x:c r="B90" s="17" t="str"/>
      <x:c r="C90" s="17" t="str"/>
      <x:c r="D90" s="17" t="str"/>
      <x:c r="E90" s="18"/>
      <x:c r="F90" s="18"/>
      <x:c r="G90" s="18" t="str">
        <x:f>IF(E90="","",E90-F90)</x:f>
      </x:c>
      <x:c r="H90" s="63"/>
      <x:c r="I90" s="17" t="str">
        <x:f>IF(A90="","",IF(G90&lt;=0,"Pagada",IF(H90&lt;TODAY(),"Vencida","Pendiente")))</x:f>
      </x:c>
      <x:c r="J90" s="17" t="str"/>
      <x:c r="K90" s="17" t="str">
        <x:f>IF(A90="","","FAC-"&amp;TEXT(ROW()-5,"0000"))</x:f>
      </x:c>
    </x:row>
    <x:row r="91">
      <x:c r="A91" s="63"/>
      <x:c r="B91" s="17" t="str"/>
      <x:c r="C91" s="17" t="str"/>
      <x:c r="D91" s="17" t="str"/>
      <x:c r="E91" s="18"/>
      <x:c r="F91" s="18"/>
      <x:c r="G91" s="18" t="str">
        <x:f>IF(E91="","",E91-F91)</x:f>
      </x:c>
      <x:c r="H91" s="63"/>
      <x:c r="I91" s="17" t="str">
        <x:f>IF(A91="","",IF(G91&lt;=0,"Pagada",IF(H91&lt;TODAY(),"Vencida","Pendiente")))</x:f>
      </x:c>
      <x:c r="J91" s="17" t="str"/>
      <x:c r="K91" s="17" t="str">
        <x:f>IF(A91="","","FAC-"&amp;TEXT(ROW()-5,"0000"))</x:f>
      </x:c>
    </x:row>
    <x:row r="92">
      <x:c r="A92" s="63"/>
      <x:c r="B92" s="17" t="str"/>
      <x:c r="C92" s="17" t="str"/>
      <x:c r="D92" s="17" t="str"/>
      <x:c r="E92" s="18"/>
      <x:c r="F92" s="18"/>
      <x:c r="G92" s="18" t="str">
        <x:f>IF(E92="","",E92-F92)</x:f>
      </x:c>
      <x:c r="H92" s="63"/>
      <x:c r="I92" s="17" t="str">
        <x:f>IF(A92="","",IF(G92&lt;=0,"Pagada",IF(H92&lt;TODAY(),"Vencida","Pendiente")))</x:f>
      </x:c>
      <x:c r="J92" s="17" t="str"/>
      <x:c r="K92" s="17" t="str">
        <x:f>IF(A92="","","FAC-"&amp;TEXT(ROW()-5,"0000"))</x:f>
      </x:c>
    </x:row>
    <x:row r="93">
      <x:c r="A93" s="63"/>
      <x:c r="B93" s="17" t="str"/>
      <x:c r="C93" s="17" t="str"/>
      <x:c r="D93" s="17" t="str"/>
      <x:c r="E93" s="18"/>
      <x:c r="F93" s="18"/>
      <x:c r="G93" s="18" t="str">
        <x:f>IF(E93="","",E93-F93)</x:f>
      </x:c>
      <x:c r="H93" s="63"/>
      <x:c r="I93" s="17" t="str">
        <x:f>IF(A93="","",IF(G93&lt;=0,"Pagada",IF(H93&lt;TODAY(),"Vencida","Pendiente")))</x:f>
      </x:c>
      <x:c r="J93" s="17" t="str"/>
      <x:c r="K93" s="17" t="str">
        <x:f>IF(A93="","","FAC-"&amp;TEXT(ROW()-5,"0000"))</x:f>
      </x:c>
    </x:row>
    <x:row r="94">
      <x:c r="A94" s="63"/>
      <x:c r="B94" s="17" t="str"/>
      <x:c r="C94" s="17" t="str"/>
      <x:c r="D94" s="17" t="str"/>
      <x:c r="E94" s="18"/>
      <x:c r="F94" s="18"/>
      <x:c r="G94" s="18" t="str">
        <x:f>IF(E94="","",E94-F94)</x:f>
      </x:c>
      <x:c r="H94" s="63"/>
      <x:c r="I94" s="17" t="str">
        <x:f>IF(A94="","",IF(G94&lt;=0,"Pagada",IF(H94&lt;TODAY(),"Vencida","Pendiente")))</x:f>
      </x:c>
      <x:c r="J94" s="17" t="str"/>
      <x:c r="K94" s="17" t="str">
        <x:f>IF(A94="","","FAC-"&amp;TEXT(ROW()-5,"0000"))</x:f>
      </x:c>
    </x:row>
    <x:row r="95">
      <x:c r="A95" s="63"/>
      <x:c r="B95" s="17" t="str"/>
      <x:c r="C95" s="17" t="str"/>
      <x:c r="D95" s="17" t="str"/>
      <x:c r="E95" s="18"/>
      <x:c r="F95" s="18"/>
      <x:c r="G95" s="18" t="str">
        <x:f>IF(E95="","",E95-F95)</x:f>
      </x:c>
      <x:c r="H95" s="63"/>
      <x:c r="I95" s="17" t="str">
        <x:f>IF(A95="","",IF(G95&lt;=0,"Pagada",IF(H95&lt;TODAY(),"Vencida","Pendiente")))</x:f>
      </x:c>
      <x:c r="J95" s="17" t="str"/>
      <x:c r="K95" s="17" t="str">
        <x:f>IF(A95="","","FAC-"&amp;TEXT(ROW()-5,"0000"))</x:f>
      </x:c>
    </x:row>
    <x:row r="96">
      <x:c r="A96" s="63"/>
      <x:c r="B96" s="17" t="str"/>
      <x:c r="C96" s="17" t="str"/>
      <x:c r="D96" s="17" t="str"/>
      <x:c r="E96" s="18"/>
      <x:c r="F96" s="18"/>
      <x:c r="G96" s="18" t="str">
        <x:f>IF(E96="","",E96-F96)</x:f>
      </x:c>
      <x:c r="H96" s="63"/>
      <x:c r="I96" s="17" t="str">
        <x:f>IF(A96="","",IF(G96&lt;=0,"Pagada",IF(H96&lt;TODAY(),"Vencida","Pendiente")))</x:f>
      </x:c>
      <x:c r="J96" s="17" t="str"/>
      <x:c r="K96" s="17" t="str">
        <x:f>IF(A96="","","FAC-"&amp;TEXT(ROW()-5,"0000"))</x:f>
      </x:c>
    </x:row>
    <x:row r="97">
      <x:c r="A97" s="63"/>
      <x:c r="B97" s="17" t="str"/>
      <x:c r="C97" s="17" t="str"/>
      <x:c r="D97" s="17" t="str"/>
      <x:c r="E97" s="18"/>
      <x:c r="F97" s="18"/>
      <x:c r="G97" s="18" t="str">
        <x:f>IF(E97="","",E97-F97)</x:f>
      </x:c>
      <x:c r="H97" s="63"/>
      <x:c r="I97" s="17" t="str">
        <x:f>IF(A97="","",IF(G97&lt;=0,"Pagada",IF(H97&lt;TODAY(),"Vencida","Pendiente")))</x:f>
      </x:c>
      <x:c r="J97" s="17" t="str"/>
      <x:c r="K97" s="17" t="str">
        <x:f>IF(A97="","","FAC-"&amp;TEXT(ROW()-5,"0000"))</x:f>
      </x:c>
    </x:row>
    <x:row r="98">
      <x:c r="A98" s="63"/>
      <x:c r="B98" s="17" t="str"/>
      <x:c r="C98" s="17" t="str"/>
      <x:c r="D98" s="17" t="str"/>
      <x:c r="E98" s="18"/>
      <x:c r="F98" s="18"/>
      <x:c r="G98" s="18" t="str">
        <x:f>IF(E98="","",E98-F98)</x:f>
      </x:c>
      <x:c r="H98" s="63"/>
      <x:c r="I98" s="17" t="str">
        <x:f>IF(A98="","",IF(G98&lt;=0,"Pagada",IF(H98&lt;TODAY(),"Vencida","Pendiente")))</x:f>
      </x:c>
      <x:c r="J98" s="17" t="str"/>
      <x:c r="K98" s="17" t="str">
        <x:f>IF(A98="","","FAC-"&amp;TEXT(ROW()-5,"0000"))</x:f>
      </x:c>
    </x:row>
    <x:row r="99">
      <x:c r="A99" s="63"/>
      <x:c r="B99" s="17" t="str"/>
      <x:c r="C99" s="17" t="str"/>
      <x:c r="D99" s="17" t="str"/>
      <x:c r="E99" s="18"/>
      <x:c r="F99" s="18"/>
      <x:c r="G99" s="18" t="str">
        <x:f>IF(E99="","",E99-F99)</x:f>
      </x:c>
      <x:c r="H99" s="63"/>
      <x:c r="I99" s="17" t="str">
        <x:f>IF(A99="","",IF(G99&lt;=0,"Pagada",IF(H99&lt;TODAY(),"Vencida","Pendiente")))</x:f>
      </x:c>
      <x:c r="J99" s="17" t="str"/>
      <x:c r="K99" s="17" t="str">
        <x:f>IF(A99="","","FAC-"&amp;TEXT(ROW()-5,"0000"))</x:f>
      </x:c>
    </x:row>
    <x:row r="100">
      <x:c r="A100" s="63"/>
      <x:c r="B100" s="17" t="str"/>
      <x:c r="C100" s="17" t="str"/>
      <x:c r="D100" s="17" t="str"/>
      <x:c r="E100" s="18"/>
      <x:c r="F100" s="18"/>
      <x:c r="G100" s="18" t="str">
        <x:f>IF(E100="","",E100-F100)</x:f>
      </x:c>
      <x:c r="H100" s="63"/>
      <x:c r="I100" s="17" t="str">
        <x:f>IF(A100="","",IF(G100&lt;=0,"Pagada",IF(H100&lt;TODAY(),"Vencida","Pendiente")))</x:f>
      </x:c>
      <x:c r="J100" s="17" t="str"/>
      <x:c r="K100" s="17" t="str">
        <x:f>IF(A100="","","FAC-"&amp;TEXT(ROW()-5,"0000"))</x:f>
      </x:c>
    </x:row>
    <x:row r="101">
      <x:c r="A101" s="63"/>
      <x:c r="B101" s="17" t="str"/>
      <x:c r="C101" s="17" t="str"/>
      <x:c r="D101" s="17" t="str"/>
      <x:c r="E101" s="18"/>
      <x:c r="F101" s="18"/>
      <x:c r="G101" s="18" t="str">
        <x:f>IF(E101="","",E101-F101)</x:f>
      </x:c>
      <x:c r="H101" s="63"/>
      <x:c r="I101" s="17" t="str">
        <x:f>IF(A101="","",IF(G101&lt;=0,"Pagada",IF(H101&lt;TODAY(),"Vencida","Pendiente")))</x:f>
      </x:c>
      <x:c r="J101" s="17" t="str"/>
      <x:c r="K101" s="17" t="str">
        <x:f>IF(A101="","","FAC-"&amp;TEXT(ROW()-5,"0000"))</x:f>
      </x:c>
    </x:row>
    <x:row r="102">
      <x:c r="A102" s="63"/>
      <x:c r="B102" s="17" t="str"/>
      <x:c r="C102" s="17" t="str"/>
      <x:c r="D102" s="17" t="str"/>
      <x:c r="E102" s="18"/>
      <x:c r="F102" s="18"/>
      <x:c r="G102" s="18" t="str">
        <x:f>IF(E102="","",E102-F102)</x:f>
      </x:c>
      <x:c r="H102" s="63"/>
      <x:c r="I102" s="17" t="str">
        <x:f>IF(A102="","",IF(G102&lt;=0,"Pagada",IF(H102&lt;TODAY(),"Vencida","Pendiente")))</x:f>
      </x:c>
      <x:c r="J102" s="17" t="str"/>
      <x:c r="K102" s="17" t="str">
        <x:f>IF(A102="","","FAC-"&amp;TEXT(ROW()-5,"0000"))</x:f>
      </x:c>
    </x:row>
    <x:row r="103">
      <x:c r="A103" s="63"/>
      <x:c r="B103" s="17" t="str"/>
      <x:c r="C103" s="17" t="str"/>
      <x:c r="D103" s="17" t="str"/>
      <x:c r="E103" s="18"/>
      <x:c r="F103" s="18"/>
      <x:c r="G103" s="18" t="str">
        <x:f>IF(E103="","",E103-F103)</x:f>
      </x:c>
      <x:c r="H103" s="63"/>
      <x:c r="I103" s="17" t="str">
        <x:f>IF(A103="","",IF(G103&lt;=0,"Pagada",IF(H103&lt;TODAY(),"Vencida","Pendiente")))</x:f>
      </x:c>
      <x:c r="J103" s="17" t="str"/>
      <x:c r="K103" s="17" t="str">
        <x:f>IF(A103="","","FAC-"&amp;TEXT(ROW()-5,"0000"))</x:f>
      </x:c>
    </x:row>
    <x:row r="104">
      <x:c r="A104" s="63"/>
      <x:c r="B104" s="17" t="str"/>
      <x:c r="C104" s="17" t="str"/>
      <x:c r="D104" s="17" t="str"/>
      <x:c r="E104" s="18"/>
      <x:c r="F104" s="18"/>
      <x:c r="G104" s="18" t="str">
        <x:f>IF(E104="","",E104-F104)</x:f>
      </x:c>
      <x:c r="H104" s="63"/>
      <x:c r="I104" s="17" t="str">
        <x:f>IF(A104="","",IF(G104&lt;=0,"Pagada",IF(H104&lt;TODAY(),"Vencida","Pendiente")))</x:f>
      </x:c>
      <x:c r="J104" s="17" t="str"/>
      <x:c r="K104" s="17" t="str">
        <x:f>IF(A104="","","FAC-"&amp;TEXT(ROW()-5,"0000"))</x:f>
      </x:c>
    </x:row>
    <x:row r="105">
      <x:c r="A105" s="63"/>
      <x:c r="B105" s="17" t="str"/>
      <x:c r="C105" s="17" t="str"/>
      <x:c r="D105" s="17" t="str"/>
      <x:c r="E105" s="18"/>
      <x:c r="F105" s="18"/>
      <x:c r="G105" s="18" t="str">
        <x:f>IF(E105="","",E105-F105)</x:f>
      </x:c>
      <x:c r="H105" s="63"/>
      <x:c r="I105" s="17" t="str">
        <x:f>IF(A105="","",IF(G105&lt;=0,"Pagada",IF(H105&lt;TODAY(),"Vencida","Pendiente")))</x:f>
      </x:c>
      <x:c r="J105" s="17" t="str"/>
      <x:c r="K105" s="17" t="str">
        <x:f>IF(A105="","","FAC-"&amp;TEXT(ROW()-5,"0000"))</x:f>
      </x:c>
    </x:row>
  </x:sheetData>
  <x:mergeCells>
    <x:mergeCell ref="A1:K1"/>
    <x:mergeCell ref="A2:H2"/>
  </x:mergeCells>
  <x:dataValidations count="2">
    <x:dataValidation type="list" sqref="B6:B105">
      <x:formula1>"Cliente,Proveedor"</x:formula1>
    </x:dataValidation>
    <x:dataValidation type="list" sqref="I6:I105">
      <x:formula1>"Pendiente,Pagada,Vencida"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02ca20293e48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0" hidden="0" customWidth="1"/>
    <x:col min="3" max="3" width="15" hidden="0" customWidth="1"/>
    <x:col min="4" max="4" width="22.5" hidden="0" customWidth="1"/>
    <x:col min="5" max="5" width="21.25" hidden="0" customWidth="1"/>
    <x:col min="6" max="6" width="27.5" hidden="0" customWidth="1"/>
    <x:col min="7" max="7" width="16.25" hidden="0" customWidth="1"/>
  </x:cols>
  <x:sheetData>
    <x:row r="1" ht="31.5" customHeight="1">
      <x:c r="A1" s="4" t="str">
        <x:v>Clientes</x:v>
      </x:c>
      <x:c r="B1" s="4" t="str">
        <x:v>Clientes</x:v>
      </x:c>
      <x:c r="C1" s="4" t="str">
        <x:v>Clientes</x:v>
      </x:c>
      <x:c r="D1" s="4" t="str">
        <x:v>Clientes</x:v>
      </x:c>
      <x:c r="E1" s="4" t="str">
        <x:v>Clientes</x:v>
      </x:c>
      <x:c r="F1" s="4" t="str">
        <x:v>Clientes</x:v>
      </x:c>
      <x:c r="G1" s="4" t="str">
        <x:v>Clientes</x:v>
      </x:c>
    </x:row>
    <x:row r="2">
      <x:c r="A2" s="8" t="str">
        <x:v>Directorio y saldo pendiente</x:v>
      </x:c>
      <x:c r="B2" s="8" t="str">
        <x:v>Directorio y saldo pendiente</x:v>
      </x:c>
      <x:c r="C2" s="8" t="str">
        <x:v>Directorio y saldo pendiente</x:v>
      </x:c>
      <x:c r="D2" s="8" t="str">
        <x:v>Directorio y saldo pendiente</x:v>
      </x:c>
      <x:c r="E2" s="8" t="str">
        <x:v>Directorio y saldo pendiente</x:v>
      </x:c>
      <x:c r="F2" s="8" t="str">
        <x:v>Directorio y saldo pendiente</x:v>
      </x:c>
      <x:c r="G2" s="8" t="str">
        <x:v>Directorio y saldo pendiente</x:v>
      </x:c>
      <x:c r="H2" s="8" t="str">
        <x:v>Directorio y saldo pendiente</x:v>
      </x:c>
    </x:row>
    <x:row r="5">
      <x:c r="A5" s="62" t="str">
        <x:v>ID</x:v>
      </x:c>
      <x:c r="B5" s="62" t="str">
        <x:v>Nombre</x:v>
      </x:c>
      <x:c r="C5" s="62" t="str">
        <x:v>Telefono</x:v>
      </x:c>
      <x:c r="D5" s="62" t="str">
        <x:v>Email</x:v>
      </x:c>
      <x:c r="E5" s="62" t="str">
        <x:v>Direccion</x:v>
      </x:c>
      <x:c r="F5" s="62" t="str">
        <x:v>Notas</x:v>
      </x:c>
      <x:c r="G5" s="62" t="str">
        <x:v>Pendiente</x:v>
      </x:c>
    </x:row>
    <x:row r="6">
      <x:c r="A6" s="17" t="str">
        <x:v>CLI-001</x:v>
      </x:c>
      <x:c r="B6" s="17" t="str">
        <x:v>Cliente general</x:v>
      </x:c>
      <x:c r="C6" s="17" t="str"/>
      <x:c r="D6" s="17" t="str"/>
      <x:c r="E6" s="17" t="str"/>
      <x:c r="F6" s="17" t="str">
        <x:v>Cliente contado</x:v>
      </x:c>
      <x:c r="G6" s="18" t="n">
        <x:f>IF(B6="","",SUMIFS(Facturas!G$6:G$105,Facturas!B$6:B$105,"Cliente",Facturas!C$6:C$105,B6))</x:f>
        <x:v>0</x:v>
      </x:c>
    </x:row>
    <x:row r="7">
      <x:c r="A7" s="17" t="str">
        <x:v>CLI-002</x:v>
      </x:c>
      <x:c r="B7" s="17" t="str">
        <x:v>Laura Perez</x:v>
      </x:c>
      <x:c r="C7" s="17" t="str">
        <x:v>3200000001</x:v>
      </x:c>
      <x:c r="D7" s="17" t="str">
        <x:v>laura@example.com</x:v>
      </x:c>
      <x:c r="E7" s="17" t="str">
        <x:v>Bogota</x:v>
      </x:c>
      <x:c r="F7" s="17" t="str">
        <x:v>Servicio recurrente</x:v>
      </x:c>
      <x:c r="G7" s="18" t="n">
        <x:f>IF(B7="","",SUMIFS(Facturas!G$6:G$105,Facturas!B$6:B$105,"Cliente",Facturas!C$6:C$105,B7))</x:f>
        <x:v>350000</x:v>
      </x:c>
    </x:row>
    <x:row r="8">
      <x:c r="A8" s="17" t="str">
        <x:v>CLI-003</x:v>
      </x:c>
      <x:c r="B8" s="17" t="str">
        <x:v>Carlos Ruiz</x:v>
      </x:c>
      <x:c r="C8" s="17" t="str">
        <x:v>3200000002</x:v>
      </x:c>
      <x:c r="D8" s="17" t="str">
        <x:v>carlos@example.com</x:v>
      </x:c>
      <x:c r="E8" s="17" t="str">
        <x:v>Medellin</x:v>
      </x:c>
      <x:c r="F8" s="17" t="str">
        <x:v>Compra por redes</x:v>
      </x:c>
      <x:c r="G8" s="18" t="n">
        <x:f>IF(B8="","",SUMIFS(Facturas!G$6:G$105,Facturas!B$6:B$105,"Cliente",Facturas!C$6:C$105,B8))</x:f>
        <x:v>0</x:v>
      </x:c>
    </x:row>
    <x:row r="9">
      <x:c r="A9" s="17" t="str"/>
      <x:c r="B9" s="17" t="str"/>
      <x:c r="C9" s="17" t="str"/>
      <x:c r="D9" s="17" t="str"/>
      <x:c r="E9" s="17" t="str"/>
      <x:c r="F9" s="17" t="str"/>
      <x:c r="G9" s="18" t="str">
        <x:f>IF(B9="","",SUMIFS(Facturas!G$6:G$105,Facturas!B$6:B$105,"Cliente",Facturas!C$6:C$105,B9))</x:f>
      </x:c>
    </x:row>
    <x:row r="10">
      <x:c r="A10" s="17" t="str"/>
      <x:c r="B10" s="17" t="str"/>
      <x:c r="C10" s="17" t="str"/>
      <x:c r="D10" s="17" t="str"/>
      <x:c r="E10" s="17" t="str"/>
      <x:c r="F10" s="17" t="str"/>
      <x:c r="G10" s="18" t="str">
        <x:f>IF(B10="","",SUMIFS(Facturas!G$6:G$105,Facturas!B$6:B$105,"Cliente",Facturas!C$6:C$105,B10))</x:f>
      </x:c>
    </x:row>
    <x:row r="11">
      <x:c r="A11" s="17" t="str"/>
      <x:c r="B11" s="17" t="str"/>
      <x:c r="C11" s="17" t="str"/>
      <x:c r="D11" s="17" t="str"/>
      <x:c r="E11" s="17" t="str"/>
      <x:c r="F11" s="17" t="str"/>
      <x:c r="G11" s="18" t="str">
        <x:f>IF(B11="","",SUMIFS(Facturas!G$6:G$105,Facturas!B$6:B$105,"Cliente",Facturas!C$6:C$105,B11))</x:f>
      </x:c>
    </x:row>
    <x:row r="12">
      <x:c r="A12" s="17" t="str"/>
      <x:c r="B12" s="17" t="str"/>
      <x:c r="C12" s="17" t="str"/>
      <x:c r="D12" s="17" t="str"/>
      <x:c r="E12" s="17" t="str"/>
      <x:c r="F12" s="17" t="str"/>
      <x:c r="G12" s="18" t="str">
        <x:f>IF(B12="","",SUMIFS(Facturas!G$6:G$105,Facturas!B$6:B$105,"Cliente",Facturas!C$6:C$105,B12))</x:f>
      </x:c>
    </x:row>
    <x:row r="13">
      <x:c r="A13" s="17" t="str"/>
      <x:c r="B13" s="17" t="str"/>
      <x:c r="C13" s="17" t="str"/>
      <x:c r="D13" s="17" t="str"/>
      <x:c r="E13" s="17" t="str"/>
      <x:c r="F13" s="17" t="str"/>
      <x:c r="G13" s="18" t="str">
        <x:f>IF(B13="","",SUMIFS(Facturas!G$6:G$105,Facturas!B$6:B$105,"Cliente",Facturas!C$6:C$105,B13))</x:f>
      </x:c>
    </x:row>
    <x:row r="14">
      <x:c r="A14" s="17" t="str"/>
      <x:c r="B14" s="17" t="str"/>
      <x:c r="C14" s="17" t="str"/>
      <x:c r="D14" s="17" t="str"/>
      <x:c r="E14" s="17" t="str"/>
      <x:c r="F14" s="17" t="str"/>
      <x:c r="G14" s="18" t="str">
        <x:f>IF(B14="","",SUMIFS(Facturas!G$6:G$105,Facturas!B$6:B$105,"Cliente",Facturas!C$6:C$105,B14))</x:f>
      </x:c>
    </x:row>
    <x:row r="15">
      <x:c r="A15" s="17" t="str"/>
      <x:c r="B15" s="17" t="str"/>
      <x:c r="C15" s="17" t="str"/>
      <x:c r="D15" s="17" t="str"/>
      <x:c r="E15" s="17" t="str"/>
      <x:c r="F15" s="17" t="str"/>
      <x:c r="G15" s="18" t="str">
        <x:f>IF(B15="","",SUMIFS(Facturas!G$6:G$105,Facturas!B$6:B$105,"Cliente",Facturas!C$6:C$105,B15))</x:f>
      </x:c>
    </x:row>
    <x:row r="16">
      <x:c r="A16" s="17" t="str"/>
      <x:c r="B16" s="17" t="str"/>
      <x:c r="C16" s="17" t="str"/>
      <x:c r="D16" s="17" t="str"/>
      <x:c r="E16" s="17" t="str"/>
      <x:c r="F16" s="17" t="str"/>
      <x:c r="G16" s="18" t="str">
        <x:f>IF(B16="","",SUMIFS(Facturas!G$6:G$105,Facturas!B$6:B$105,"Cliente",Facturas!C$6:C$105,B16))</x:f>
      </x:c>
    </x:row>
    <x:row r="17">
      <x:c r="A17" s="17" t="str"/>
      <x:c r="B17" s="17" t="str"/>
      <x:c r="C17" s="17" t="str"/>
      <x:c r="D17" s="17" t="str"/>
      <x:c r="E17" s="17" t="str"/>
      <x:c r="F17" s="17" t="str"/>
      <x:c r="G17" s="18" t="str">
        <x:f>IF(B17="","",SUMIFS(Facturas!G$6:G$105,Facturas!B$6:B$105,"Cliente",Facturas!C$6:C$105,B17))</x:f>
      </x:c>
    </x:row>
    <x:row r="18">
      <x:c r="A18" s="17" t="str"/>
      <x:c r="B18" s="17" t="str"/>
      <x:c r="C18" s="17" t="str"/>
      <x:c r="D18" s="17" t="str"/>
      <x:c r="E18" s="17" t="str"/>
      <x:c r="F18" s="17" t="str"/>
      <x:c r="G18" s="18" t="str">
        <x:f>IF(B18="","",SUMIFS(Facturas!G$6:G$105,Facturas!B$6:B$105,"Cliente",Facturas!C$6:C$105,B18))</x:f>
      </x:c>
    </x:row>
    <x:row r="19">
      <x:c r="A19" s="17" t="str"/>
      <x:c r="B19" s="17" t="str"/>
      <x:c r="C19" s="17" t="str"/>
      <x:c r="D19" s="17" t="str"/>
      <x:c r="E19" s="17" t="str"/>
      <x:c r="F19" s="17" t="str"/>
      <x:c r="G19" s="18" t="str">
        <x:f>IF(B19="","",SUMIFS(Facturas!G$6:G$105,Facturas!B$6:B$105,"Cliente",Facturas!C$6:C$105,B19))</x:f>
      </x:c>
    </x:row>
    <x:row r="20">
      <x:c r="A20" s="17" t="str"/>
      <x:c r="B20" s="17" t="str"/>
      <x:c r="C20" s="17" t="str"/>
      <x:c r="D20" s="17" t="str"/>
      <x:c r="E20" s="17" t="str"/>
      <x:c r="F20" s="17" t="str"/>
      <x:c r="G20" s="18" t="str">
        <x:f>IF(B20="","",SUMIFS(Facturas!G$6:G$105,Facturas!B$6:B$105,"Cliente",Facturas!C$6:C$105,B20))</x:f>
      </x:c>
    </x:row>
    <x:row r="21">
      <x:c r="A21" s="17" t="str"/>
      <x:c r="B21" s="17" t="str"/>
      <x:c r="C21" s="17" t="str"/>
      <x:c r="D21" s="17" t="str"/>
      <x:c r="E21" s="17" t="str"/>
      <x:c r="F21" s="17" t="str"/>
      <x:c r="G21" s="18" t="str">
        <x:f>IF(B21="","",SUMIFS(Facturas!G$6:G$105,Facturas!B$6:B$105,"Cliente",Facturas!C$6:C$105,B21))</x:f>
      </x:c>
    </x:row>
    <x:row r="22">
      <x:c r="A22" s="17" t="str"/>
      <x:c r="B22" s="17" t="str"/>
      <x:c r="C22" s="17" t="str"/>
      <x:c r="D22" s="17" t="str"/>
      <x:c r="E22" s="17" t="str"/>
      <x:c r="F22" s="17" t="str"/>
      <x:c r="G22" s="18" t="str">
        <x:f>IF(B22="","",SUMIFS(Facturas!G$6:G$105,Facturas!B$6:B$105,"Cliente",Facturas!C$6:C$105,B22))</x:f>
      </x:c>
    </x:row>
    <x:row r="23">
      <x:c r="A23" s="17" t="str"/>
      <x:c r="B23" s="17" t="str"/>
      <x:c r="C23" s="17" t="str"/>
      <x:c r="D23" s="17" t="str"/>
      <x:c r="E23" s="17" t="str"/>
      <x:c r="F23" s="17" t="str"/>
      <x:c r="G23" s="18" t="str">
        <x:f>IF(B23="","",SUMIFS(Facturas!G$6:G$105,Facturas!B$6:B$105,"Cliente",Facturas!C$6:C$105,B23))</x:f>
      </x:c>
    </x:row>
    <x:row r="24">
      <x:c r="A24" s="17" t="str"/>
      <x:c r="B24" s="17" t="str"/>
      <x:c r="C24" s="17" t="str"/>
      <x:c r="D24" s="17" t="str"/>
      <x:c r="E24" s="17" t="str"/>
      <x:c r="F24" s="17" t="str"/>
      <x:c r="G24" s="18" t="str">
        <x:f>IF(B24="","",SUMIFS(Facturas!G$6:G$105,Facturas!B$6:B$105,"Cliente",Facturas!C$6:C$105,B24))</x:f>
      </x:c>
    </x:row>
    <x:row r="25">
      <x:c r="A25" s="17" t="str"/>
      <x:c r="B25" s="17" t="str"/>
      <x:c r="C25" s="17" t="str"/>
      <x:c r="D25" s="17" t="str"/>
      <x:c r="E25" s="17" t="str"/>
      <x:c r="F25" s="17" t="str"/>
      <x:c r="G25" s="18" t="str">
        <x:f>IF(B25="","",SUMIFS(Facturas!G$6:G$105,Facturas!B$6:B$105,"Cliente",Facturas!C$6:C$105,B25))</x:f>
      </x:c>
    </x:row>
    <x:row r="26">
      <x:c r="A26" s="17" t="str"/>
      <x:c r="B26" s="17" t="str"/>
      <x:c r="C26" s="17" t="str"/>
      <x:c r="D26" s="17" t="str"/>
      <x:c r="E26" s="17" t="str"/>
      <x:c r="F26" s="17" t="str"/>
      <x:c r="G26" s="18" t="str">
        <x:f>IF(B26="","",SUMIFS(Facturas!G$6:G$105,Facturas!B$6:B$105,"Cliente",Facturas!C$6:C$105,B26))</x:f>
      </x:c>
    </x:row>
    <x:row r="27">
      <x:c r="A27" s="17" t="str"/>
      <x:c r="B27" s="17" t="str"/>
      <x:c r="C27" s="17" t="str"/>
      <x:c r="D27" s="17" t="str"/>
      <x:c r="E27" s="17" t="str"/>
      <x:c r="F27" s="17" t="str"/>
      <x:c r="G27" s="18" t="str">
        <x:f>IF(B27="","",SUMIFS(Facturas!G$6:G$105,Facturas!B$6:B$105,"Cliente",Facturas!C$6:C$105,B27))</x:f>
      </x:c>
    </x:row>
    <x:row r="28">
      <x:c r="A28" s="17" t="str"/>
      <x:c r="B28" s="17" t="str"/>
      <x:c r="C28" s="17" t="str"/>
      <x:c r="D28" s="17" t="str"/>
      <x:c r="E28" s="17" t="str"/>
      <x:c r="F28" s="17" t="str"/>
      <x:c r="G28" s="18" t="str">
        <x:f>IF(B28="","",SUMIFS(Facturas!G$6:G$105,Facturas!B$6:B$105,"Cliente",Facturas!C$6:C$105,B28))</x:f>
      </x:c>
    </x:row>
    <x:row r="29">
      <x:c r="A29" s="17" t="str"/>
      <x:c r="B29" s="17" t="str"/>
      <x:c r="C29" s="17" t="str"/>
      <x:c r="D29" s="17" t="str"/>
      <x:c r="E29" s="17" t="str"/>
      <x:c r="F29" s="17" t="str"/>
      <x:c r="G29" s="18" t="str">
        <x:f>IF(B29="","",SUMIFS(Facturas!G$6:G$105,Facturas!B$6:B$105,"Cliente",Facturas!C$6:C$105,B29))</x:f>
      </x:c>
    </x:row>
    <x:row r="30">
      <x:c r="A30" s="17" t="str"/>
      <x:c r="B30" s="17" t="str"/>
      <x:c r="C30" s="17" t="str"/>
      <x:c r="D30" s="17" t="str"/>
      <x:c r="E30" s="17" t="str"/>
      <x:c r="F30" s="17" t="str"/>
      <x:c r="G30" s="18" t="str">
        <x:f>IF(B30="","",SUMIFS(Facturas!G$6:G$105,Facturas!B$6:B$105,"Cliente",Facturas!C$6:C$105,B30))</x:f>
      </x:c>
    </x:row>
    <x:row r="31">
      <x:c r="A31" s="17" t="str"/>
      <x:c r="B31" s="17" t="str"/>
      <x:c r="C31" s="17" t="str"/>
      <x:c r="D31" s="17" t="str"/>
      <x:c r="E31" s="17" t="str"/>
      <x:c r="F31" s="17" t="str"/>
      <x:c r="G31" s="18" t="str">
        <x:f>IF(B31="","",SUMIFS(Facturas!G$6:G$105,Facturas!B$6:B$105,"Cliente",Facturas!C$6:C$105,B31))</x:f>
      </x:c>
    </x:row>
    <x:row r="32">
      <x:c r="A32" s="17" t="str"/>
      <x:c r="B32" s="17" t="str"/>
      <x:c r="C32" s="17" t="str"/>
      <x:c r="D32" s="17" t="str"/>
      <x:c r="E32" s="17" t="str"/>
      <x:c r="F32" s="17" t="str"/>
      <x:c r="G32" s="18" t="str">
        <x:f>IF(B32="","",SUMIFS(Facturas!G$6:G$105,Facturas!B$6:B$105,"Cliente",Facturas!C$6:C$105,B32))</x:f>
      </x:c>
    </x:row>
    <x:row r="33">
      <x:c r="A33" s="17" t="str"/>
      <x:c r="B33" s="17" t="str"/>
      <x:c r="C33" s="17" t="str"/>
      <x:c r="D33" s="17" t="str"/>
      <x:c r="E33" s="17" t="str"/>
      <x:c r="F33" s="17" t="str"/>
      <x:c r="G33" s="18" t="str">
        <x:f>IF(B33="","",SUMIFS(Facturas!G$6:G$105,Facturas!B$6:B$105,"Cliente",Facturas!C$6:C$105,B33))</x:f>
      </x:c>
    </x:row>
    <x:row r="34">
      <x:c r="A34" s="17" t="str"/>
      <x:c r="B34" s="17" t="str"/>
      <x:c r="C34" s="17" t="str"/>
      <x:c r="D34" s="17" t="str"/>
      <x:c r="E34" s="17" t="str"/>
      <x:c r="F34" s="17" t="str"/>
      <x:c r="G34" s="18" t="str">
        <x:f>IF(B34="","",SUMIFS(Facturas!G$6:G$105,Facturas!B$6:B$105,"Cliente",Facturas!C$6:C$105,B34))</x:f>
      </x:c>
    </x:row>
    <x:row r="35">
      <x:c r="A35" s="17" t="str"/>
      <x:c r="B35" s="17" t="str"/>
      <x:c r="C35" s="17" t="str"/>
      <x:c r="D35" s="17" t="str"/>
      <x:c r="E35" s="17" t="str"/>
      <x:c r="F35" s="17" t="str"/>
      <x:c r="G35" s="18" t="str">
        <x:f>IF(B35="","",SUMIFS(Facturas!G$6:G$105,Facturas!B$6:B$105,"Cliente",Facturas!C$6:C$105,B35))</x:f>
      </x:c>
    </x:row>
    <x:row r="36">
      <x:c r="A36" s="17" t="str"/>
      <x:c r="B36" s="17" t="str"/>
      <x:c r="C36" s="17" t="str"/>
      <x:c r="D36" s="17" t="str"/>
      <x:c r="E36" s="17" t="str"/>
      <x:c r="F36" s="17" t="str"/>
      <x:c r="G36" s="18" t="str">
        <x:f>IF(B36="","",SUMIFS(Facturas!G$6:G$105,Facturas!B$6:B$105,"Cliente",Facturas!C$6:C$105,B36))</x:f>
      </x:c>
    </x:row>
    <x:row r="37">
      <x:c r="A37" s="17" t="str"/>
      <x:c r="B37" s="17" t="str"/>
      <x:c r="C37" s="17" t="str"/>
      <x:c r="D37" s="17" t="str"/>
      <x:c r="E37" s="17" t="str"/>
      <x:c r="F37" s="17" t="str"/>
      <x:c r="G37" s="18" t="str">
        <x:f>IF(B37="","",SUMIFS(Facturas!G$6:G$105,Facturas!B$6:B$105,"Cliente",Facturas!C$6:C$105,B37))</x:f>
      </x:c>
    </x:row>
    <x:row r="38">
      <x:c r="A38" s="17" t="str"/>
      <x:c r="B38" s="17" t="str"/>
      <x:c r="C38" s="17" t="str"/>
      <x:c r="D38" s="17" t="str"/>
      <x:c r="E38" s="17" t="str"/>
      <x:c r="F38" s="17" t="str"/>
      <x:c r="G38" s="18" t="str">
        <x:f>IF(B38="","",SUMIFS(Facturas!G$6:G$105,Facturas!B$6:B$105,"Cliente",Facturas!C$6:C$105,B38))</x:f>
      </x:c>
    </x:row>
    <x:row r="39">
      <x:c r="A39" s="17" t="str"/>
      <x:c r="B39" s="17" t="str"/>
      <x:c r="C39" s="17" t="str"/>
      <x:c r="D39" s="17" t="str"/>
      <x:c r="E39" s="17" t="str"/>
      <x:c r="F39" s="17" t="str"/>
      <x:c r="G39" s="18" t="str">
        <x:f>IF(B39="","",SUMIFS(Facturas!G$6:G$105,Facturas!B$6:B$105,"Cliente",Facturas!C$6:C$105,B39))</x:f>
      </x:c>
    </x:row>
    <x:row r="40">
      <x:c r="A40" s="17" t="str"/>
      <x:c r="B40" s="17" t="str"/>
      <x:c r="C40" s="17" t="str"/>
      <x:c r="D40" s="17" t="str"/>
      <x:c r="E40" s="17" t="str"/>
      <x:c r="F40" s="17" t="str"/>
      <x:c r="G40" s="18" t="str">
        <x:f>IF(B40="","",SUMIFS(Facturas!G$6:G$105,Facturas!B$6:B$105,"Cliente",Facturas!C$6:C$105,B40))</x:f>
      </x:c>
    </x:row>
    <x:row r="41">
      <x:c r="A41" s="17" t="str"/>
      <x:c r="B41" s="17" t="str"/>
      <x:c r="C41" s="17" t="str"/>
      <x:c r="D41" s="17" t="str"/>
      <x:c r="E41" s="17" t="str"/>
      <x:c r="F41" s="17" t="str"/>
      <x:c r="G41" s="18" t="str">
        <x:f>IF(B41="","",SUMIFS(Facturas!G$6:G$105,Facturas!B$6:B$105,"Cliente",Facturas!C$6:C$105,B41))</x:f>
      </x:c>
    </x:row>
    <x:row r="42">
      <x:c r="A42" s="17" t="str"/>
      <x:c r="B42" s="17" t="str"/>
      <x:c r="C42" s="17" t="str"/>
      <x:c r="D42" s="17" t="str"/>
      <x:c r="E42" s="17" t="str"/>
      <x:c r="F42" s="17" t="str"/>
      <x:c r="G42" s="18" t="str">
        <x:f>IF(B42="","",SUMIFS(Facturas!G$6:G$105,Facturas!B$6:B$105,"Cliente",Facturas!C$6:C$105,B42))</x:f>
      </x:c>
    </x:row>
    <x:row r="43">
      <x:c r="A43" s="17" t="str"/>
      <x:c r="B43" s="17" t="str"/>
      <x:c r="C43" s="17" t="str"/>
      <x:c r="D43" s="17" t="str"/>
      <x:c r="E43" s="17" t="str"/>
      <x:c r="F43" s="17" t="str"/>
      <x:c r="G43" s="18" t="str">
        <x:f>IF(B43="","",SUMIFS(Facturas!G$6:G$105,Facturas!B$6:B$105,"Cliente",Facturas!C$6:C$105,B43))</x:f>
      </x:c>
    </x:row>
    <x:row r="44">
      <x:c r="A44" s="17" t="str"/>
      <x:c r="B44" s="17" t="str"/>
      <x:c r="C44" s="17" t="str"/>
      <x:c r="D44" s="17" t="str"/>
      <x:c r="E44" s="17" t="str"/>
      <x:c r="F44" s="17" t="str"/>
      <x:c r="G44" s="18" t="str">
        <x:f>IF(B44="","",SUMIFS(Facturas!G$6:G$105,Facturas!B$6:B$105,"Cliente",Facturas!C$6:C$105,B44))</x:f>
      </x:c>
    </x:row>
    <x:row r="45">
      <x:c r="A45" s="17" t="str"/>
      <x:c r="B45" s="17" t="str"/>
      <x:c r="C45" s="17" t="str"/>
      <x:c r="D45" s="17" t="str"/>
      <x:c r="E45" s="17" t="str"/>
      <x:c r="F45" s="17" t="str"/>
      <x:c r="G45" s="18" t="str">
        <x:f>IF(B45="","",SUMIFS(Facturas!G$6:G$105,Facturas!B$6:B$105,"Cliente",Facturas!C$6:C$105,B45))</x:f>
      </x:c>
    </x:row>
    <x:row r="46">
      <x:c r="A46" s="17" t="str"/>
      <x:c r="B46" s="17" t="str"/>
      <x:c r="C46" s="17" t="str"/>
      <x:c r="D46" s="17" t="str"/>
      <x:c r="E46" s="17" t="str"/>
      <x:c r="F46" s="17" t="str"/>
      <x:c r="G46" s="18" t="str">
        <x:f>IF(B46="","",SUMIFS(Facturas!G$6:G$105,Facturas!B$6:B$105,"Cliente",Facturas!C$6:C$105,B46))</x:f>
      </x:c>
    </x:row>
    <x:row r="47">
      <x:c r="A47" s="17" t="str"/>
      <x:c r="B47" s="17" t="str"/>
      <x:c r="C47" s="17" t="str"/>
      <x:c r="D47" s="17" t="str"/>
      <x:c r="E47" s="17" t="str"/>
      <x:c r="F47" s="17" t="str"/>
      <x:c r="G47" s="18" t="str">
        <x:f>IF(B47="","",SUMIFS(Facturas!G$6:G$105,Facturas!B$6:B$105,"Cliente",Facturas!C$6:C$105,B47))</x:f>
      </x:c>
    </x:row>
    <x:row r="48">
      <x:c r="A48" s="17" t="str"/>
      <x:c r="B48" s="17" t="str"/>
      <x:c r="C48" s="17" t="str"/>
      <x:c r="D48" s="17" t="str"/>
      <x:c r="E48" s="17" t="str"/>
      <x:c r="F48" s="17" t="str"/>
      <x:c r="G48" s="18" t="str">
        <x:f>IF(B48="","",SUMIFS(Facturas!G$6:G$105,Facturas!B$6:B$105,"Cliente",Facturas!C$6:C$105,B48))</x:f>
      </x:c>
    </x:row>
    <x:row r="49">
      <x:c r="A49" s="17" t="str"/>
      <x:c r="B49" s="17" t="str"/>
      <x:c r="C49" s="17" t="str"/>
      <x:c r="D49" s="17" t="str"/>
      <x:c r="E49" s="17" t="str"/>
      <x:c r="F49" s="17" t="str"/>
      <x:c r="G49" s="18" t="str">
        <x:f>IF(B49="","",SUMIFS(Facturas!G$6:G$105,Facturas!B$6:B$105,"Cliente",Facturas!C$6:C$105,B49))</x:f>
      </x:c>
    </x:row>
    <x:row r="50">
      <x:c r="A50" s="17" t="str"/>
      <x:c r="B50" s="17" t="str"/>
      <x:c r="C50" s="17" t="str"/>
      <x:c r="D50" s="17" t="str"/>
      <x:c r="E50" s="17" t="str"/>
      <x:c r="F50" s="17" t="str"/>
      <x:c r="G50" s="18" t="str">
        <x:f>IF(B50="","",SUMIFS(Facturas!G$6:G$105,Facturas!B$6:B$105,"Cliente",Facturas!C$6:C$105,B50))</x:f>
      </x:c>
    </x:row>
    <x:row r="51">
      <x:c r="A51" s="17" t="str"/>
      <x:c r="B51" s="17" t="str"/>
      <x:c r="C51" s="17" t="str"/>
      <x:c r="D51" s="17" t="str"/>
      <x:c r="E51" s="17" t="str"/>
      <x:c r="F51" s="17" t="str"/>
      <x:c r="G51" s="18" t="str">
        <x:f>IF(B51="","",SUMIFS(Facturas!G$6:G$105,Facturas!B$6:B$105,"Cliente",Facturas!C$6:C$105,B51))</x:f>
      </x:c>
    </x:row>
    <x:row r="52">
      <x:c r="A52" s="17" t="str"/>
      <x:c r="B52" s="17" t="str"/>
      <x:c r="C52" s="17" t="str"/>
      <x:c r="D52" s="17" t="str"/>
      <x:c r="E52" s="17" t="str"/>
      <x:c r="F52" s="17" t="str"/>
      <x:c r="G52" s="18" t="str">
        <x:f>IF(B52="","",SUMIFS(Facturas!G$6:G$105,Facturas!B$6:B$105,"Cliente",Facturas!C$6:C$105,B52))</x:f>
      </x:c>
    </x:row>
    <x:row r="53">
      <x:c r="A53" s="17" t="str"/>
      <x:c r="B53" s="17" t="str"/>
      <x:c r="C53" s="17" t="str"/>
      <x:c r="D53" s="17" t="str"/>
      <x:c r="E53" s="17" t="str"/>
      <x:c r="F53" s="17" t="str"/>
      <x:c r="G53" s="18" t="str">
        <x:f>IF(B53="","",SUMIFS(Facturas!G$6:G$105,Facturas!B$6:B$105,"Cliente",Facturas!C$6:C$105,B53))</x:f>
      </x:c>
    </x:row>
    <x:row r="54">
      <x:c r="A54" s="17" t="str"/>
      <x:c r="B54" s="17" t="str"/>
      <x:c r="C54" s="17" t="str"/>
      <x:c r="D54" s="17" t="str"/>
      <x:c r="E54" s="17" t="str"/>
      <x:c r="F54" s="17" t="str"/>
      <x:c r="G54" s="18" t="str">
        <x:f>IF(B54="","",SUMIFS(Facturas!G$6:G$105,Facturas!B$6:B$105,"Cliente",Facturas!C$6:C$105,B54))</x:f>
      </x:c>
    </x:row>
    <x:row r="55">
      <x:c r="A55" s="17" t="str"/>
      <x:c r="B55" s="17" t="str"/>
      <x:c r="C55" s="17" t="str"/>
      <x:c r="D55" s="17" t="str"/>
      <x:c r="E55" s="17" t="str"/>
      <x:c r="F55" s="17" t="str"/>
      <x:c r="G55" s="18" t="str">
        <x:f>IF(B55="","",SUMIFS(Facturas!G$6:G$105,Facturas!B$6:B$105,"Cliente",Facturas!C$6:C$105,B55))</x:f>
      </x:c>
    </x:row>
    <x:row r="56">
      <x:c r="A56" s="17" t="str"/>
      <x:c r="B56" s="17" t="str"/>
      <x:c r="C56" s="17" t="str"/>
      <x:c r="D56" s="17" t="str"/>
      <x:c r="E56" s="17" t="str"/>
      <x:c r="F56" s="17" t="str"/>
      <x:c r="G56" s="18" t="str">
        <x:f>IF(B56="","",SUMIFS(Facturas!G$6:G$105,Facturas!B$6:B$105,"Cliente",Facturas!C$6:C$105,B56))</x:f>
      </x:c>
    </x:row>
    <x:row r="57">
      <x:c r="A57" s="17" t="str"/>
      <x:c r="B57" s="17" t="str"/>
      <x:c r="C57" s="17" t="str"/>
      <x:c r="D57" s="17" t="str"/>
      <x:c r="E57" s="17" t="str"/>
      <x:c r="F57" s="17" t="str"/>
      <x:c r="G57" s="18" t="str">
        <x:f>IF(B57="","",SUMIFS(Facturas!G$6:G$105,Facturas!B$6:B$105,"Cliente",Facturas!C$6:C$105,B57))</x:f>
      </x:c>
    </x:row>
    <x:row r="58">
      <x:c r="A58" s="17" t="str"/>
      <x:c r="B58" s="17" t="str"/>
      <x:c r="C58" s="17" t="str"/>
      <x:c r="D58" s="17" t="str"/>
      <x:c r="E58" s="17" t="str"/>
      <x:c r="F58" s="17" t="str"/>
      <x:c r="G58" s="18" t="str">
        <x:f>IF(B58="","",SUMIFS(Facturas!G$6:G$105,Facturas!B$6:B$105,"Cliente",Facturas!C$6:C$105,B58))</x:f>
      </x:c>
    </x:row>
    <x:row r="59">
      <x:c r="A59" s="17" t="str"/>
      <x:c r="B59" s="17" t="str"/>
      <x:c r="C59" s="17" t="str"/>
      <x:c r="D59" s="17" t="str"/>
      <x:c r="E59" s="17" t="str"/>
      <x:c r="F59" s="17" t="str"/>
      <x:c r="G59" s="18" t="str">
        <x:f>IF(B59="","",SUMIFS(Facturas!G$6:G$105,Facturas!B$6:B$105,"Cliente",Facturas!C$6:C$105,B59))</x:f>
      </x:c>
    </x:row>
    <x:row r="60">
      <x:c r="A60" s="17" t="str"/>
      <x:c r="B60" s="17" t="str"/>
      <x:c r="C60" s="17" t="str"/>
      <x:c r="D60" s="17" t="str"/>
      <x:c r="E60" s="17" t="str"/>
      <x:c r="F60" s="17" t="str"/>
      <x:c r="G60" s="18" t="str">
        <x:f>IF(B60="","",SUMIFS(Facturas!G$6:G$105,Facturas!B$6:B$105,"Cliente",Facturas!C$6:C$105,B60))</x:f>
      </x:c>
    </x:row>
    <x:row r="61">
      <x:c r="A61" s="17" t="str"/>
      <x:c r="B61" s="17" t="str"/>
      <x:c r="C61" s="17" t="str"/>
      <x:c r="D61" s="17" t="str"/>
      <x:c r="E61" s="17" t="str"/>
      <x:c r="F61" s="17" t="str"/>
      <x:c r="G61" s="18" t="str">
        <x:f>IF(B61="","",SUMIFS(Facturas!G$6:G$105,Facturas!B$6:B$105,"Cliente",Facturas!C$6:C$105,B61))</x:f>
      </x:c>
    </x:row>
    <x:row r="62">
      <x:c r="A62" s="17" t="str"/>
      <x:c r="B62" s="17" t="str"/>
      <x:c r="C62" s="17" t="str"/>
      <x:c r="D62" s="17" t="str"/>
      <x:c r="E62" s="17" t="str"/>
      <x:c r="F62" s="17" t="str"/>
      <x:c r="G62" s="18" t="str">
        <x:f>IF(B62="","",SUMIFS(Facturas!G$6:G$105,Facturas!B$6:B$105,"Cliente",Facturas!C$6:C$105,B62))</x:f>
      </x:c>
    </x:row>
    <x:row r="63">
      <x:c r="A63" s="17" t="str"/>
      <x:c r="B63" s="17" t="str"/>
      <x:c r="C63" s="17" t="str"/>
      <x:c r="D63" s="17" t="str"/>
      <x:c r="E63" s="17" t="str"/>
      <x:c r="F63" s="17" t="str"/>
      <x:c r="G63" s="18" t="str">
        <x:f>IF(B63="","",SUMIFS(Facturas!G$6:G$105,Facturas!B$6:B$105,"Cliente",Facturas!C$6:C$105,B63))</x:f>
      </x:c>
    </x:row>
    <x:row r="64">
      <x:c r="A64" s="17" t="str"/>
      <x:c r="B64" s="17" t="str"/>
      <x:c r="C64" s="17" t="str"/>
      <x:c r="D64" s="17" t="str"/>
      <x:c r="E64" s="17" t="str"/>
      <x:c r="F64" s="17" t="str"/>
      <x:c r="G64" s="18" t="str">
        <x:f>IF(B64="","",SUMIFS(Facturas!G$6:G$105,Facturas!B$6:B$105,"Cliente",Facturas!C$6:C$105,B64))</x:f>
      </x:c>
    </x:row>
    <x:row r="65">
      <x:c r="A65" s="17" t="str"/>
      <x:c r="B65" s="17" t="str"/>
      <x:c r="C65" s="17" t="str"/>
      <x:c r="D65" s="17" t="str"/>
      <x:c r="E65" s="17" t="str"/>
      <x:c r="F65" s="17" t="str"/>
      <x:c r="G65" s="18" t="str">
        <x:f>IF(B65="","",SUMIFS(Facturas!G$6:G$105,Facturas!B$6:B$105,"Cliente",Facturas!C$6:C$105,B65))</x:f>
      </x:c>
    </x:row>
    <x:row r="66">
      <x:c r="A66" s="17" t="str"/>
      <x:c r="B66" s="17" t="str"/>
      <x:c r="C66" s="17" t="str"/>
      <x:c r="D66" s="17" t="str"/>
      <x:c r="E66" s="17" t="str"/>
      <x:c r="F66" s="17" t="str"/>
      <x:c r="G66" s="18" t="str">
        <x:f>IF(B66="","",SUMIFS(Facturas!G$6:G$105,Facturas!B$6:B$105,"Cliente",Facturas!C$6:C$105,B66))</x:f>
      </x:c>
    </x:row>
    <x:row r="67">
      <x:c r="A67" s="17" t="str"/>
      <x:c r="B67" s="17" t="str"/>
      <x:c r="C67" s="17" t="str"/>
      <x:c r="D67" s="17" t="str"/>
      <x:c r="E67" s="17" t="str"/>
      <x:c r="F67" s="17" t="str"/>
      <x:c r="G67" s="18" t="str">
        <x:f>IF(B67="","",SUMIFS(Facturas!G$6:G$105,Facturas!B$6:B$105,"Cliente",Facturas!C$6:C$105,B67))</x:f>
      </x:c>
    </x:row>
    <x:row r="68">
      <x:c r="A68" s="17" t="str"/>
      <x:c r="B68" s="17" t="str"/>
      <x:c r="C68" s="17" t="str"/>
      <x:c r="D68" s="17" t="str"/>
      <x:c r="E68" s="17" t="str"/>
      <x:c r="F68" s="17" t="str"/>
      <x:c r="G68" s="18" t="str">
        <x:f>IF(B68="","",SUMIFS(Facturas!G$6:G$105,Facturas!B$6:B$105,"Cliente",Facturas!C$6:C$105,B68))</x:f>
      </x:c>
    </x:row>
    <x:row r="69">
      <x:c r="A69" s="17" t="str"/>
      <x:c r="B69" s="17" t="str"/>
      <x:c r="C69" s="17" t="str"/>
      <x:c r="D69" s="17" t="str"/>
      <x:c r="E69" s="17" t="str"/>
      <x:c r="F69" s="17" t="str"/>
      <x:c r="G69" s="18" t="str">
        <x:f>IF(B69="","",SUMIFS(Facturas!G$6:G$105,Facturas!B$6:B$105,"Cliente",Facturas!C$6:C$105,B69))</x:f>
      </x:c>
    </x:row>
    <x:row r="70">
      <x:c r="A70" s="17" t="str"/>
      <x:c r="B70" s="17" t="str"/>
      <x:c r="C70" s="17" t="str"/>
      <x:c r="D70" s="17" t="str"/>
      <x:c r="E70" s="17" t="str"/>
      <x:c r="F70" s="17" t="str"/>
      <x:c r="G70" s="18" t="str">
        <x:f>IF(B70="","",SUMIFS(Facturas!G$6:G$105,Facturas!B$6:B$105,"Cliente",Facturas!C$6:C$105,B70))</x:f>
      </x:c>
    </x:row>
    <x:row r="71">
      <x:c r="A71" s="17" t="str"/>
      <x:c r="B71" s="17" t="str"/>
      <x:c r="C71" s="17" t="str"/>
      <x:c r="D71" s="17" t="str"/>
      <x:c r="E71" s="17" t="str"/>
      <x:c r="F71" s="17" t="str"/>
      <x:c r="G71" s="18" t="str">
        <x:f>IF(B71="","",SUMIFS(Facturas!G$6:G$105,Facturas!B$6:B$105,"Cliente",Facturas!C$6:C$105,B71))</x:f>
      </x:c>
    </x:row>
    <x:row r="72">
      <x:c r="A72" s="17" t="str"/>
      <x:c r="B72" s="17" t="str"/>
      <x:c r="C72" s="17" t="str"/>
      <x:c r="D72" s="17" t="str"/>
      <x:c r="E72" s="17" t="str"/>
      <x:c r="F72" s="17" t="str"/>
      <x:c r="G72" s="18" t="str">
        <x:f>IF(B72="","",SUMIFS(Facturas!G$6:G$105,Facturas!B$6:B$105,"Cliente",Facturas!C$6:C$105,B72))</x:f>
      </x:c>
    </x:row>
    <x:row r="73">
      <x:c r="A73" s="17" t="str"/>
      <x:c r="B73" s="17" t="str"/>
      <x:c r="C73" s="17" t="str"/>
      <x:c r="D73" s="17" t="str"/>
      <x:c r="E73" s="17" t="str"/>
      <x:c r="F73" s="17" t="str"/>
      <x:c r="G73" s="18" t="str">
        <x:f>IF(B73="","",SUMIFS(Facturas!G$6:G$105,Facturas!B$6:B$105,"Cliente",Facturas!C$6:C$105,B73))</x:f>
      </x:c>
    </x:row>
    <x:row r="74">
      <x:c r="A74" s="17" t="str"/>
      <x:c r="B74" s="17" t="str"/>
      <x:c r="C74" s="17" t="str"/>
      <x:c r="D74" s="17" t="str"/>
      <x:c r="E74" s="17" t="str"/>
      <x:c r="F74" s="17" t="str"/>
      <x:c r="G74" s="18" t="str">
        <x:f>IF(B74="","",SUMIFS(Facturas!G$6:G$105,Facturas!B$6:B$105,"Cliente",Facturas!C$6:C$105,B74))</x:f>
      </x:c>
    </x:row>
    <x:row r="75">
      <x:c r="A75" s="17" t="str"/>
      <x:c r="B75" s="17" t="str"/>
      <x:c r="C75" s="17" t="str"/>
      <x:c r="D75" s="17" t="str"/>
      <x:c r="E75" s="17" t="str"/>
      <x:c r="F75" s="17" t="str"/>
      <x:c r="G75" s="18" t="str">
        <x:f>IF(B75="","",SUMIFS(Facturas!G$6:G$105,Facturas!B$6:B$105,"Cliente",Facturas!C$6:C$105,B75))</x:f>
      </x:c>
    </x:row>
    <x:row r="76">
      <x:c r="A76" s="17" t="str"/>
      <x:c r="B76" s="17" t="str"/>
      <x:c r="C76" s="17" t="str"/>
      <x:c r="D76" s="17" t="str"/>
      <x:c r="E76" s="17" t="str"/>
      <x:c r="F76" s="17" t="str"/>
      <x:c r="G76" s="18" t="str">
        <x:f>IF(B76="","",SUMIFS(Facturas!G$6:G$105,Facturas!B$6:B$105,"Cliente",Facturas!C$6:C$105,B76))</x:f>
      </x:c>
    </x:row>
    <x:row r="77">
      <x:c r="A77" s="17" t="str"/>
      <x:c r="B77" s="17" t="str"/>
      <x:c r="C77" s="17" t="str"/>
      <x:c r="D77" s="17" t="str"/>
      <x:c r="E77" s="17" t="str"/>
      <x:c r="F77" s="17" t="str"/>
      <x:c r="G77" s="18" t="str">
        <x:f>IF(B77="","",SUMIFS(Facturas!G$6:G$105,Facturas!B$6:B$105,"Cliente",Facturas!C$6:C$105,B77))</x:f>
      </x:c>
    </x:row>
    <x:row r="78">
      <x:c r="A78" s="17" t="str"/>
      <x:c r="B78" s="17" t="str"/>
      <x:c r="C78" s="17" t="str"/>
      <x:c r="D78" s="17" t="str"/>
      <x:c r="E78" s="17" t="str"/>
      <x:c r="F78" s="17" t="str"/>
      <x:c r="G78" s="18" t="str">
        <x:f>IF(B78="","",SUMIFS(Facturas!G$6:G$105,Facturas!B$6:B$105,"Cliente",Facturas!C$6:C$105,B78))</x:f>
      </x:c>
    </x:row>
    <x:row r="79">
      <x:c r="A79" s="17" t="str"/>
      <x:c r="B79" s="17" t="str"/>
      <x:c r="C79" s="17" t="str"/>
      <x:c r="D79" s="17" t="str"/>
      <x:c r="E79" s="17" t="str"/>
      <x:c r="F79" s="17" t="str"/>
      <x:c r="G79" s="18" t="str">
        <x:f>IF(B79="","",SUMIFS(Facturas!G$6:G$105,Facturas!B$6:B$105,"Cliente",Facturas!C$6:C$105,B79))</x:f>
      </x:c>
    </x:row>
    <x:row r="80">
      <x:c r="A80" s="17" t="str"/>
      <x:c r="B80" s="17" t="str"/>
      <x:c r="C80" s="17" t="str"/>
      <x:c r="D80" s="17" t="str"/>
      <x:c r="E80" s="17" t="str"/>
      <x:c r="F80" s="17" t="str"/>
      <x:c r="G80" s="18" t="str">
        <x:f>IF(B80="","",SUMIFS(Facturas!G$6:G$105,Facturas!B$6:B$105,"Cliente",Facturas!C$6:C$105,B80))</x:f>
      </x:c>
    </x:row>
    <x:row r="81">
      <x:c r="A81" s="17" t="str"/>
      <x:c r="B81" s="17" t="str"/>
      <x:c r="C81" s="17" t="str"/>
      <x:c r="D81" s="17" t="str"/>
      <x:c r="E81" s="17" t="str"/>
      <x:c r="F81" s="17" t="str"/>
      <x:c r="G81" s="18" t="str">
        <x:f>IF(B81="","",SUMIFS(Facturas!G$6:G$105,Facturas!B$6:B$105,"Cliente",Facturas!C$6:C$105,B81))</x:f>
      </x:c>
    </x:row>
    <x:row r="82">
      <x:c r="A82" s="17" t="str"/>
      <x:c r="B82" s="17" t="str"/>
      <x:c r="C82" s="17" t="str"/>
      <x:c r="D82" s="17" t="str"/>
      <x:c r="E82" s="17" t="str"/>
      <x:c r="F82" s="17" t="str"/>
      <x:c r="G82" s="18" t="str">
        <x:f>IF(B82="","",SUMIFS(Facturas!G$6:G$105,Facturas!B$6:B$105,"Cliente",Facturas!C$6:C$105,B82))</x:f>
      </x:c>
    </x:row>
    <x:row r="83">
      <x:c r="A83" s="17" t="str"/>
      <x:c r="B83" s="17" t="str"/>
      <x:c r="C83" s="17" t="str"/>
      <x:c r="D83" s="17" t="str"/>
      <x:c r="E83" s="17" t="str"/>
      <x:c r="F83" s="17" t="str"/>
      <x:c r="G83" s="18" t="str">
        <x:f>IF(B83="","",SUMIFS(Facturas!G$6:G$105,Facturas!B$6:B$105,"Cliente",Facturas!C$6:C$105,B83))</x:f>
      </x:c>
    </x:row>
    <x:row r="84">
      <x:c r="A84" s="17" t="str"/>
      <x:c r="B84" s="17" t="str"/>
      <x:c r="C84" s="17" t="str"/>
      <x:c r="D84" s="17" t="str"/>
      <x:c r="E84" s="17" t="str"/>
      <x:c r="F84" s="17" t="str"/>
      <x:c r="G84" s="18" t="str">
        <x:f>IF(B84="","",SUMIFS(Facturas!G$6:G$105,Facturas!B$6:B$105,"Cliente",Facturas!C$6:C$105,B84))</x:f>
      </x:c>
    </x:row>
    <x:row r="85">
      <x:c r="A85" s="17" t="str"/>
      <x:c r="B85" s="17" t="str"/>
      <x:c r="C85" s="17" t="str"/>
      <x:c r="D85" s="17" t="str"/>
      <x:c r="E85" s="17" t="str"/>
      <x:c r="F85" s="17" t="str"/>
      <x:c r="G85" s="18" t="str">
        <x:f>IF(B85="","",SUMIFS(Facturas!G$6:G$105,Facturas!B$6:B$105,"Cliente",Facturas!C$6:C$105,B85))</x:f>
      </x:c>
    </x:row>
    <x:row r="86">
      <x:c r="A86" s="17" t="str"/>
      <x:c r="B86" s="17" t="str"/>
      <x:c r="C86" s="17" t="str"/>
      <x:c r="D86" s="17" t="str"/>
      <x:c r="E86" s="17" t="str"/>
      <x:c r="F86" s="17" t="str"/>
      <x:c r="G86" s="18" t="str">
        <x:f>IF(B86="","",SUMIFS(Facturas!G$6:G$105,Facturas!B$6:B$105,"Cliente",Facturas!C$6:C$105,B86))</x:f>
      </x:c>
    </x:row>
    <x:row r="87">
      <x:c r="A87" s="17" t="str"/>
      <x:c r="B87" s="17" t="str"/>
      <x:c r="C87" s="17" t="str"/>
      <x:c r="D87" s="17" t="str"/>
      <x:c r="E87" s="17" t="str"/>
      <x:c r="F87" s="17" t="str"/>
      <x:c r="G87" s="18" t="str">
        <x:f>IF(B87="","",SUMIFS(Facturas!G$6:G$105,Facturas!B$6:B$105,"Cliente",Facturas!C$6:C$105,B87))</x:f>
      </x:c>
    </x:row>
    <x:row r="88">
      <x:c r="A88" s="17" t="str"/>
      <x:c r="B88" s="17" t="str"/>
      <x:c r="C88" s="17" t="str"/>
      <x:c r="D88" s="17" t="str"/>
      <x:c r="E88" s="17" t="str"/>
      <x:c r="F88" s="17" t="str"/>
      <x:c r="G88" s="18" t="str">
        <x:f>IF(B88="","",SUMIFS(Facturas!G$6:G$105,Facturas!B$6:B$105,"Cliente",Facturas!C$6:C$105,B88))</x:f>
      </x:c>
    </x:row>
    <x:row r="89">
      <x:c r="A89" s="17" t="str"/>
      <x:c r="B89" s="17" t="str"/>
      <x:c r="C89" s="17" t="str"/>
      <x:c r="D89" s="17" t="str"/>
      <x:c r="E89" s="17" t="str"/>
      <x:c r="F89" s="17" t="str"/>
      <x:c r="G89" s="18" t="str">
        <x:f>IF(B89="","",SUMIFS(Facturas!G$6:G$105,Facturas!B$6:B$105,"Cliente",Facturas!C$6:C$105,B89))</x:f>
      </x:c>
    </x:row>
    <x:row r="90">
      <x:c r="A90" s="17" t="str"/>
      <x:c r="B90" s="17" t="str"/>
      <x:c r="C90" s="17" t="str"/>
      <x:c r="D90" s="17" t="str"/>
      <x:c r="E90" s="17" t="str"/>
      <x:c r="F90" s="17" t="str"/>
      <x:c r="G90" s="18" t="str">
        <x:f>IF(B90="","",SUMIFS(Facturas!G$6:G$105,Facturas!B$6:B$105,"Cliente",Facturas!C$6:C$105,B90))</x:f>
      </x:c>
    </x:row>
    <x:row r="91">
      <x:c r="A91" s="17" t="str"/>
      <x:c r="B91" s="17" t="str"/>
      <x:c r="C91" s="17" t="str"/>
      <x:c r="D91" s="17" t="str"/>
      <x:c r="E91" s="17" t="str"/>
      <x:c r="F91" s="17" t="str"/>
      <x:c r="G91" s="18" t="str">
        <x:f>IF(B91="","",SUMIFS(Facturas!G$6:G$105,Facturas!B$6:B$105,"Cliente",Facturas!C$6:C$105,B91))</x:f>
      </x:c>
    </x:row>
    <x:row r="92">
      <x:c r="A92" s="17" t="str"/>
      <x:c r="B92" s="17" t="str"/>
      <x:c r="C92" s="17" t="str"/>
      <x:c r="D92" s="17" t="str"/>
      <x:c r="E92" s="17" t="str"/>
      <x:c r="F92" s="17" t="str"/>
      <x:c r="G92" s="18" t="str">
        <x:f>IF(B92="","",SUMIFS(Facturas!G$6:G$105,Facturas!B$6:B$105,"Cliente",Facturas!C$6:C$105,B92))</x:f>
      </x:c>
    </x:row>
    <x:row r="93">
      <x:c r="A93" s="17" t="str"/>
      <x:c r="B93" s="17" t="str"/>
      <x:c r="C93" s="17" t="str"/>
      <x:c r="D93" s="17" t="str"/>
      <x:c r="E93" s="17" t="str"/>
      <x:c r="F93" s="17" t="str"/>
      <x:c r="G93" s="18" t="str">
        <x:f>IF(B93="","",SUMIFS(Facturas!G$6:G$105,Facturas!B$6:B$105,"Cliente",Facturas!C$6:C$105,B93))</x:f>
      </x:c>
    </x:row>
    <x:row r="94">
      <x:c r="A94" s="17" t="str"/>
      <x:c r="B94" s="17" t="str"/>
      <x:c r="C94" s="17" t="str"/>
      <x:c r="D94" s="17" t="str"/>
      <x:c r="E94" s="17" t="str"/>
      <x:c r="F94" s="17" t="str"/>
      <x:c r="G94" s="18" t="str">
        <x:f>IF(B94="","",SUMIFS(Facturas!G$6:G$105,Facturas!B$6:B$105,"Cliente",Facturas!C$6:C$105,B94))</x:f>
      </x:c>
    </x:row>
    <x:row r="95">
      <x:c r="A95" s="17" t="str"/>
      <x:c r="B95" s="17" t="str"/>
      <x:c r="C95" s="17" t="str"/>
      <x:c r="D95" s="17" t="str"/>
      <x:c r="E95" s="17" t="str"/>
      <x:c r="F95" s="17" t="str"/>
      <x:c r="G95" s="18" t="str">
        <x:f>IF(B95="","",SUMIFS(Facturas!G$6:G$105,Facturas!B$6:B$105,"Cliente",Facturas!C$6:C$105,B95))</x:f>
      </x:c>
    </x:row>
    <x:row r="96">
      <x:c r="A96" s="17" t="str"/>
      <x:c r="B96" s="17" t="str"/>
      <x:c r="C96" s="17" t="str"/>
      <x:c r="D96" s="17" t="str"/>
      <x:c r="E96" s="17" t="str"/>
      <x:c r="F96" s="17" t="str"/>
      <x:c r="G96" s="18" t="str">
        <x:f>IF(B96="","",SUMIFS(Facturas!G$6:G$105,Facturas!B$6:B$105,"Cliente",Facturas!C$6:C$105,B96))</x:f>
      </x:c>
    </x:row>
    <x:row r="97">
      <x:c r="A97" s="17" t="str"/>
      <x:c r="B97" s="17" t="str"/>
      <x:c r="C97" s="17" t="str"/>
      <x:c r="D97" s="17" t="str"/>
      <x:c r="E97" s="17" t="str"/>
      <x:c r="F97" s="17" t="str"/>
      <x:c r="G97" s="18" t="str">
        <x:f>IF(B97="","",SUMIFS(Facturas!G$6:G$105,Facturas!B$6:B$105,"Cliente",Facturas!C$6:C$105,B97))</x:f>
      </x:c>
    </x:row>
    <x:row r="98">
      <x:c r="A98" s="17" t="str"/>
      <x:c r="B98" s="17" t="str"/>
      <x:c r="C98" s="17" t="str"/>
      <x:c r="D98" s="17" t="str"/>
      <x:c r="E98" s="17" t="str"/>
      <x:c r="F98" s="17" t="str"/>
      <x:c r="G98" s="18" t="str">
        <x:f>IF(B98="","",SUMIFS(Facturas!G$6:G$105,Facturas!B$6:B$105,"Cliente",Facturas!C$6:C$105,B98))</x:f>
      </x:c>
    </x:row>
    <x:row r="99">
      <x:c r="A99" s="17" t="str"/>
      <x:c r="B99" s="17" t="str"/>
      <x:c r="C99" s="17" t="str"/>
      <x:c r="D99" s="17" t="str"/>
      <x:c r="E99" s="17" t="str"/>
      <x:c r="F99" s="17" t="str"/>
      <x:c r="G99" s="18" t="str">
        <x:f>IF(B99="","",SUMIFS(Facturas!G$6:G$105,Facturas!B$6:B$105,"Cliente",Facturas!C$6:C$105,B99))</x:f>
      </x:c>
    </x:row>
    <x:row r="100">
      <x:c r="A100" s="17" t="str"/>
      <x:c r="B100" s="17" t="str"/>
      <x:c r="C100" s="17" t="str"/>
      <x:c r="D100" s="17" t="str"/>
      <x:c r="E100" s="17" t="str"/>
      <x:c r="F100" s="17" t="str"/>
      <x:c r="G100" s="18" t="str">
        <x:f>IF(B100="","",SUMIFS(Facturas!G$6:G$105,Facturas!B$6:B$105,"Cliente",Facturas!C$6:C$105,B100))</x:f>
      </x:c>
    </x:row>
    <x:row r="101">
      <x:c r="A101" s="17" t="str"/>
      <x:c r="B101" s="17" t="str"/>
      <x:c r="C101" s="17" t="str"/>
      <x:c r="D101" s="17" t="str"/>
      <x:c r="E101" s="17" t="str"/>
      <x:c r="F101" s="17" t="str"/>
      <x:c r="G101" s="18" t="str">
        <x:f>IF(B101="","",SUMIFS(Facturas!G$6:G$105,Facturas!B$6:B$105,"Cliente",Facturas!C$6:C$105,B101))</x:f>
      </x:c>
    </x:row>
    <x:row r="102">
      <x:c r="A102" s="17" t="str"/>
      <x:c r="B102" s="17" t="str"/>
      <x:c r="C102" s="17" t="str"/>
      <x:c r="D102" s="17" t="str"/>
      <x:c r="E102" s="17" t="str"/>
      <x:c r="F102" s="17" t="str"/>
      <x:c r="G102" s="18" t="str">
        <x:f>IF(B102="","",SUMIFS(Facturas!G$6:G$105,Facturas!B$6:B$105,"Cliente",Facturas!C$6:C$105,B102))</x:f>
      </x:c>
    </x:row>
    <x:row r="103">
      <x:c r="A103" s="17" t="str"/>
      <x:c r="B103" s="17" t="str"/>
      <x:c r="C103" s="17" t="str"/>
      <x:c r="D103" s="17" t="str"/>
      <x:c r="E103" s="17" t="str"/>
      <x:c r="F103" s="17" t="str"/>
      <x:c r="G103" s="18" t="str">
        <x:f>IF(B103="","",SUMIFS(Facturas!G$6:G$105,Facturas!B$6:B$105,"Cliente",Facturas!C$6:C$105,B103))</x:f>
      </x:c>
    </x:row>
    <x:row r="104">
      <x:c r="A104" s="17" t="str"/>
      <x:c r="B104" s="17" t="str"/>
      <x:c r="C104" s="17" t="str"/>
      <x:c r="D104" s="17" t="str"/>
      <x:c r="E104" s="17" t="str"/>
      <x:c r="F104" s="17" t="str"/>
      <x:c r="G104" s="18" t="str">
        <x:f>IF(B104="","",SUMIFS(Facturas!G$6:G$105,Facturas!B$6:B$105,"Cliente",Facturas!C$6:C$105,B104))</x:f>
      </x:c>
    </x:row>
    <x:row r="105">
      <x:c r="A105" s="17" t="str"/>
      <x:c r="B105" s="17" t="str"/>
      <x:c r="C105" s="17" t="str"/>
      <x:c r="D105" s="17" t="str"/>
      <x:c r="E105" s="17" t="str"/>
      <x:c r="F105" s="17" t="str"/>
      <x:c r="G105" s="18" t="str">
        <x:f>IF(B105="","",SUMIFS(Facturas!G$6:G$105,Facturas!B$6:B$105,"Cliente",Facturas!C$6:C$105,B105))</x:f>
      </x:c>
    </x:row>
  </x:sheetData>
  <x:mergeCells>
    <x:mergeCell ref="A1:G1"/>
    <x:mergeCell ref="A2:H2"/>
  </x:mergeCells>
  <x:pageMargins left="0.7" right="0.7" top="0.75" bottom="0.75" header="0.3" footer="0.3"/>
  <x:tableParts count="1">
    <x:tablePart xmlns:r="http://schemas.openxmlformats.org/officeDocument/2006/relationships" r:id="R05dec014faba4c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1.25" hidden="0" customWidth="1"/>
    <x:col min="3" max="3" width="15" hidden="0" customWidth="1"/>
    <x:col min="4" max="4" width="25" hidden="0" customWidth="1"/>
    <x:col min="5" max="5" width="21.25" hidden="0" customWidth="1"/>
    <x:col min="6" max="6" width="27.5" hidden="0" customWidth="1"/>
    <x:col min="7" max="7" width="16.25" hidden="0" customWidth="1"/>
  </x:cols>
  <x:sheetData>
    <x:row r="1" ht="31.5" customHeight="1">
      <x:c r="A1" s="4" t="str">
        <x:v>Proveedores</x:v>
      </x:c>
      <x:c r="B1" s="4" t="str">
        <x:v>Proveedores</x:v>
      </x:c>
      <x:c r="C1" s="4" t="str">
        <x:v>Proveedores</x:v>
      </x:c>
      <x:c r="D1" s="4" t="str">
        <x:v>Proveedores</x:v>
      </x:c>
      <x:c r="E1" s="4" t="str">
        <x:v>Proveedores</x:v>
      </x:c>
      <x:c r="F1" s="4" t="str">
        <x:v>Proveedores</x:v>
      </x:c>
      <x:c r="G1" s="4" t="str">
        <x:v>Proveedores</x:v>
      </x:c>
    </x:row>
    <x:row r="2">
      <x:c r="A2" s="8" t="str">
        <x:v>Directorio y cuentas por pagar</x:v>
      </x:c>
      <x:c r="B2" s="8" t="str">
        <x:v>Directorio y cuentas por pagar</x:v>
      </x:c>
      <x:c r="C2" s="8" t="str">
        <x:v>Directorio y cuentas por pagar</x:v>
      </x:c>
      <x:c r="D2" s="8" t="str">
        <x:v>Directorio y cuentas por pagar</x:v>
      </x:c>
      <x:c r="E2" s="8" t="str">
        <x:v>Directorio y cuentas por pagar</x:v>
      </x:c>
      <x:c r="F2" s="8" t="str">
        <x:v>Directorio y cuentas por pagar</x:v>
      </x:c>
      <x:c r="G2" s="8" t="str">
        <x:v>Directorio y cuentas por pagar</x:v>
      </x:c>
      <x:c r="H2" s="8" t="str">
        <x:v>Directorio y cuentas por pagar</x:v>
      </x:c>
    </x:row>
    <x:row r="5">
      <x:c r="A5" s="62" t="str">
        <x:v>ID</x:v>
      </x:c>
      <x:c r="B5" s="62" t="str">
        <x:v>Nombre</x:v>
      </x:c>
      <x:c r="C5" s="62" t="str">
        <x:v>Telefono</x:v>
      </x:c>
      <x:c r="D5" s="62" t="str">
        <x:v>Email</x:v>
      </x:c>
      <x:c r="E5" s="62" t="str">
        <x:v>Direccion</x:v>
      </x:c>
      <x:c r="F5" s="62" t="str">
        <x:v>Notas</x:v>
      </x:c>
      <x:c r="G5" s="62" t="str">
        <x:v>Pendiente</x:v>
      </x:c>
    </x:row>
    <x:row r="6">
      <x:c r="A6" s="17" t="str">
        <x:v>PRO-001</x:v>
      </x:c>
      <x:c r="B6" s="17" t="str">
        <x:v>Proveedor Norte</x:v>
      </x:c>
      <x:c r="C6" s="17" t="str">
        <x:v>3100000001</x:v>
      </x:c>
      <x:c r="D6" s="17" t="str">
        <x:v>ventas@proveedornorte.com</x:v>
      </x:c>
      <x:c r="E6" s="17" t="str">
        <x:v>Bogota</x:v>
      </x:c>
      <x:c r="F6" s="17" t="str">
        <x:v>Mercancia</x:v>
      </x:c>
      <x:c r="G6" s="18" t="n">
        <x:f>IF(B6="","",SUMIFS(Facturas!G$6:G$105,Facturas!B$6:B$105,"Proveedor",Facturas!C$6:C$105,B6))</x:f>
        <x:v>500000</x:v>
      </x:c>
    </x:row>
    <x:row r="7">
      <x:c r="A7" s="17" t="str">
        <x:v>PRO-002</x:v>
      </x:c>
      <x:c r="B7" s="17" t="str">
        <x:v>Operador local</x:v>
      </x:c>
      <x:c r="C7" s="17" t="str">
        <x:v>3100000002</x:v>
      </x:c>
      <x:c r="D7" s="17" t="str">
        <x:v>soporte@operador.com</x:v>
      </x:c>
      <x:c r="E7" s="17" t="str">
        <x:v>Bogota</x:v>
      </x:c>
      <x:c r="F7" s="17" t="str">
        <x:v>Internet</x:v>
      </x:c>
      <x:c r="G7" s="18" t="n">
        <x:f>IF(B7="","",SUMIFS(Facturas!G$6:G$105,Facturas!B$6:B$105,"Proveedor",Facturas!C$6:C$105,B7))</x:f>
        <x:v>98000</x:v>
      </x:c>
    </x:row>
    <x:row r="8">
      <x:c r="A8" s="17" t="str">
        <x:v>PRO-003</x:v>
      </x:c>
      <x:c r="B8" s="17" t="str">
        <x:v>Mensajeria rapida</x:v>
      </x:c>
      <x:c r="C8" s="17" t="str">
        <x:v>3100000003</x:v>
      </x:c>
      <x:c r="D8" s="17" t="str"/>
      <x:c r="E8" s="17" t="str">
        <x:v>Bogota</x:v>
      </x:c>
      <x:c r="F8" s="17" t="str">
        <x:v>Domicilios</x:v>
      </x:c>
      <x:c r="G8" s="18" t="n">
        <x:f>IF(B8="","",SUMIFS(Facturas!G$6:G$105,Facturas!B$6:B$105,"Proveedor",Facturas!C$6:C$105,B8))</x:f>
        <x:v>0</x:v>
      </x:c>
    </x:row>
    <x:row r="9">
      <x:c r="A9" s="17" t="str"/>
      <x:c r="B9" s="17" t="str"/>
      <x:c r="C9" s="17" t="str"/>
      <x:c r="D9" s="17" t="str"/>
      <x:c r="E9" s="17" t="str"/>
      <x:c r="F9" s="17" t="str"/>
      <x:c r="G9" s="18" t="str">
        <x:f>IF(B9="","",SUMIFS(Facturas!G$6:G$105,Facturas!B$6:B$105,"Proveedor",Facturas!C$6:C$105,B9))</x:f>
      </x:c>
    </x:row>
    <x:row r="10">
      <x:c r="A10" s="17" t="str"/>
      <x:c r="B10" s="17" t="str"/>
      <x:c r="C10" s="17" t="str"/>
      <x:c r="D10" s="17" t="str"/>
      <x:c r="E10" s="17" t="str"/>
      <x:c r="F10" s="17" t="str"/>
      <x:c r="G10" s="18" t="str">
        <x:f>IF(B10="","",SUMIFS(Facturas!G$6:G$105,Facturas!B$6:B$105,"Proveedor",Facturas!C$6:C$105,B10))</x:f>
      </x:c>
    </x:row>
    <x:row r="11">
      <x:c r="A11" s="17" t="str"/>
      <x:c r="B11" s="17" t="str"/>
      <x:c r="C11" s="17" t="str"/>
      <x:c r="D11" s="17" t="str"/>
      <x:c r="E11" s="17" t="str"/>
      <x:c r="F11" s="17" t="str"/>
      <x:c r="G11" s="18" t="str">
        <x:f>IF(B11="","",SUMIFS(Facturas!G$6:G$105,Facturas!B$6:B$105,"Proveedor",Facturas!C$6:C$105,B11))</x:f>
      </x:c>
    </x:row>
    <x:row r="12">
      <x:c r="A12" s="17" t="str"/>
      <x:c r="B12" s="17" t="str"/>
      <x:c r="C12" s="17" t="str"/>
      <x:c r="D12" s="17" t="str"/>
      <x:c r="E12" s="17" t="str"/>
      <x:c r="F12" s="17" t="str"/>
      <x:c r="G12" s="18" t="str">
        <x:f>IF(B12="","",SUMIFS(Facturas!G$6:G$105,Facturas!B$6:B$105,"Proveedor",Facturas!C$6:C$105,B12))</x:f>
      </x:c>
    </x:row>
    <x:row r="13">
      <x:c r="A13" s="17" t="str"/>
      <x:c r="B13" s="17" t="str"/>
      <x:c r="C13" s="17" t="str"/>
      <x:c r="D13" s="17" t="str"/>
      <x:c r="E13" s="17" t="str"/>
      <x:c r="F13" s="17" t="str"/>
      <x:c r="G13" s="18" t="str">
        <x:f>IF(B13="","",SUMIFS(Facturas!G$6:G$105,Facturas!B$6:B$105,"Proveedor",Facturas!C$6:C$105,B13))</x:f>
      </x:c>
    </x:row>
    <x:row r="14">
      <x:c r="A14" s="17" t="str"/>
      <x:c r="B14" s="17" t="str"/>
      <x:c r="C14" s="17" t="str"/>
      <x:c r="D14" s="17" t="str"/>
      <x:c r="E14" s="17" t="str"/>
      <x:c r="F14" s="17" t="str"/>
      <x:c r="G14" s="18" t="str">
        <x:f>IF(B14="","",SUMIFS(Facturas!G$6:G$105,Facturas!B$6:B$105,"Proveedor",Facturas!C$6:C$105,B14))</x:f>
      </x:c>
    </x:row>
    <x:row r="15">
      <x:c r="A15" s="17" t="str"/>
      <x:c r="B15" s="17" t="str"/>
      <x:c r="C15" s="17" t="str"/>
      <x:c r="D15" s="17" t="str"/>
      <x:c r="E15" s="17" t="str"/>
      <x:c r="F15" s="17" t="str"/>
      <x:c r="G15" s="18" t="str">
        <x:f>IF(B15="","",SUMIFS(Facturas!G$6:G$105,Facturas!B$6:B$105,"Proveedor",Facturas!C$6:C$105,B15))</x:f>
      </x:c>
    </x:row>
    <x:row r="16">
      <x:c r="A16" s="17" t="str"/>
      <x:c r="B16" s="17" t="str"/>
      <x:c r="C16" s="17" t="str"/>
      <x:c r="D16" s="17" t="str"/>
      <x:c r="E16" s="17" t="str"/>
      <x:c r="F16" s="17" t="str"/>
      <x:c r="G16" s="18" t="str">
        <x:f>IF(B16="","",SUMIFS(Facturas!G$6:G$105,Facturas!B$6:B$105,"Proveedor",Facturas!C$6:C$105,B16))</x:f>
      </x:c>
    </x:row>
    <x:row r="17">
      <x:c r="A17" s="17" t="str"/>
      <x:c r="B17" s="17" t="str"/>
      <x:c r="C17" s="17" t="str"/>
      <x:c r="D17" s="17" t="str"/>
      <x:c r="E17" s="17" t="str"/>
      <x:c r="F17" s="17" t="str"/>
      <x:c r="G17" s="18" t="str">
        <x:f>IF(B17="","",SUMIFS(Facturas!G$6:G$105,Facturas!B$6:B$105,"Proveedor",Facturas!C$6:C$105,B17))</x:f>
      </x:c>
    </x:row>
    <x:row r="18">
      <x:c r="A18" s="17" t="str"/>
      <x:c r="B18" s="17" t="str"/>
      <x:c r="C18" s="17" t="str"/>
      <x:c r="D18" s="17" t="str"/>
      <x:c r="E18" s="17" t="str"/>
      <x:c r="F18" s="17" t="str"/>
      <x:c r="G18" s="18" t="str">
        <x:f>IF(B18="","",SUMIFS(Facturas!G$6:G$105,Facturas!B$6:B$105,"Proveedor",Facturas!C$6:C$105,B18))</x:f>
      </x:c>
    </x:row>
    <x:row r="19">
      <x:c r="A19" s="17" t="str"/>
      <x:c r="B19" s="17" t="str"/>
      <x:c r="C19" s="17" t="str"/>
      <x:c r="D19" s="17" t="str"/>
      <x:c r="E19" s="17" t="str"/>
      <x:c r="F19" s="17" t="str"/>
      <x:c r="G19" s="18" t="str">
        <x:f>IF(B19="","",SUMIFS(Facturas!G$6:G$105,Facturas!B$6:B$105,"Proveedor",Facturas!C$6:C$105,B19))</x:f>
      </x:c>
    </x:row>
    <x:row r="20">
      <x:c r="A20" s="17" t="str"/>
      <x:c r="B20" s="17" t="str"/>
      <x:c r="C20" s="17" t="str"/>
      <x:c r="D20" s="17" t="str"/>
      <x:c r="E20" s="17" t="str"/>
      <x:c r="F20" s="17" t="str"/>
      <x:c r="G20" s="18" t="str">
        <x:f>IF(B20="","",SUMIFS(Facturas!G$6:G$105,Facturas!B$6:B$105,"Proveedor",Facturas!C$6:C$105,B20))</x:f>
      </x:c>
    </x:row>
    <x:row r="21">
      <x:c r="A21" s="17" t="str"/>
      <x:c r="B21" s="17" t="str"/>
      <x:c r="C21" s="17" t="str"/>
      <x:c r="D21" s="17" t="str"/>
      <x:c r="E21" s="17" t="str"/>
      <x:c r="F21" s="17" t="str"/>
      <x:c r="G21" s="18" t="str">
        <x:f>IF(B21="","",SUMIFS(Facturas!G$6:G$105,Facturas!B$6:B$105,"Proveedor",Facturas!C$6:C$105,B21))</x:f>
      </x:c>
    </x:row>
    <x:row r="22">
      <x:c r="A22" s="17" t="str"/>
      <x:c r="B22" s="17" t="str"/>
      <x:c r="C22" s="17" t="str"/>
      <x:c r="D22" s="17" t="str"/>
      <x:c r="E22" s="17" t="str"/>
      <x:c r="F22" s="17" t="str"/>
      <x:c r="G22" s="18" t="str">
        <x:f>IF(B22="","",SUMIFS(Facturas!G$6:G$105,Facturas!B$6:B$105,"Proveedor",Facturas!C$6:C$105,B22))</x:f>
      </x:c>
    </x:row>
    <x:row r="23">
      <x:c r="A23" s="17" t="str"/>
      <x:c r="B23" s="17" t="str"/>
      <x:c r="C23" s="17" t="str"/>
      <x:c r="D23" s="17" t="str"/>
      <x:c r="E23" s="17" t="str"/>
      <x:c r="F23" s="17" t="str"/>
      <x:c r="G23" s="18" t="str">
        <x:f>IF(B23="","",SUMIFS(Facturas!G$6:G$105,Facturas!B$6:B$105,"Proveedor",Facturas!C$6:C$105,B23))</x:f>
      </x:c>
    </x:row>
    <x:row r="24">
      <x:c r="A24" s="17" t="str"/>
      <x:c r="B24" s="17" t="str"/>
      <x:c r="C24" s="17" t="str"/>
      <x:c r="D24" s="17" t="str"/>
      <x:c r="E24" s="17" t="str"/>
      <x:c r="F24" s="17" t="str"/>
      <x:c r="G24" s="18" t="str">
        <x:f>IF(B24="","",SUMIFS(Facturas!G$6:G$105,Facturas!B$6:B$105,"Proveedor",Facturas!C$6:C$105,B24))</x:f>
      </x:c>
    </x:row>
    <x:row r="25">
      <x:c r="A25" s="17" t="str"/>
      <x:c r="B25" s="17" t="str"/>
      <x:c r="C25" s="17" t="str"/>
      <x:c r="D25" s="17" t="str"/>
      <x:c r="E25" s="17" t="str"/>
      <x:c r="F25" s="17" t="str"/>
      <x:c r="G25" s="18" t="str">
        <x:f>IF(B25="","",SUMIFS(Facturas!G$6:G$105,Facturas!B$6:B$105,"Proveedor",Facturas!C$6:C$105,B25))</x:f>
      </x:c>
    </x:row>
    <x:row r="26">
      <x:c r="A26" s="17" t="str"/>
      <x:c r="B26" s="17" t="str"/>
      <x:c r="C26" s="17" t="str"/>
      <x:c r="D26" s="17" t="str"/>
      <x:c r="E26" s="17" t="str"/>
      <x:c r="F26" s="17" t="str"/>
      <x:c r="G26" s="18" t="str">
        <x:f>IF(B26="","",SUMIFS(Facturas!G$6:G$105,Facturas!B$6:B$105,"Proveedor",Facturas!C$6:C$105,B26))</x:f>
      </x:c>
    </x:row>
    <x:row r="27">
      <x:c r="A27" s="17" t="str"/>
      <x:c r="B27" s="17" t="str"/>
      <x:c r="C27" s="17" t="str"/>
      <x:c r="D27" s="17" t="str"/>
      <x:c r="E27" s="17" t="str"/>
      <x:c r="F27" s="17" t="str"/>
      <x:c r="G27" s="18" t="str">
        <x:f>IF(B27="","",SUMIFS(Facturas!G$6:G$105,Facturas!B$6:B$105,"Proveedor",Facturas!C$6:C$105,B27))</x:f>
      </x:c>
    </x:row>
    <x:row r="28">
      <x:c r="A28" s="17" t="str"/>
      <x:c r="B28" s="17" t="str"/>
      <x:c r="C28" s="17" t="str"/>
      <x:c r="D28" s="17" t="str"/>
      <x:c r="E28" s="17" t="str"/>
      <x:c r="F28" s="17" t="str"/>
      <x:c r="G28" s="18" t="str">
        <x:f>IF(B28="","",SUMIFS(Facturas!G$6:G$105,Facturas!B$6:B$105,"Proveedor",Facturas!C$6:C$105,B28))</x:f>
      </x:c>
    </x:row>
    <x:row r="29">
      <x:c r="A29" s="17" t="str"/>
      <x:c r="B29" s="17" t="str"/>
      <x:c r="C29" s="17" t="str"/>
      <x:c r="D29" s="17" t="str"/>
      <x:c r="E29" s="17" t="str"/>
      <x:c r="F29" s="17" t="str"/>
      <x:c r="G29" s="18" t="str">
        <x:f>IF(B29="","",SUMIFS(Facturas!G$6:G$105,Facturas!B$6:B$105,"Proveedor",Facturas!C$6:C$105,B29))</x:f>
      </x:c>
    </x:row>
    <x:row r="30">
      <x:c r="A30" s="17" t="str"/>
      <x:c r="B30" s="17" t="str"/>
      <x:c r="C30" s="17" t="str"/>
      <x:c r="D30" s="17" t="str"/>
      <x:c r="E30" s="17" t="str"/>
      <x:c r="F30" s="17" t="str"/>
      <x:c r="G30" s="18" t="str">
        <x:f>IF(B30="","",SUMIFS(Facturas!G$6:G$105,Facturas!B$6:B$105,"Proveedor",Facturas!C$6:C$105,B30))</x:f>
      </x:c>
    </x:row>
    <x:row r="31">
      <x:c r="A31" s="17" t="str"/>
      <x:c r="B31" s="17" t="str"/>
      <x:c r="C31" s="17" t="str"/>
      <x:c r="D31" s="17" t="str"/>
      <x:c r="E31" s="17" t="str"/>
      <x:c r="F31" s="17" t="str"/>
      <x:c r="G31" s="18" t="str">
        <x:f>IF(B31="","",SUMIFS(Facturas!G$6:G$105,Facturas!B$6:B$105,"Proveedor",Facturas!C$6:C$105,B31))</x:f>
      </x:c>
    </x:row>
    <x:row r="32">
      <x:c r="A32" s="17" t="str"/>
      <x:c r="B32" s="17" t="str"/>
      <x:c r="C32" s="17" t="str"/>
      <x:c r="D32" s="17" t="str"/>
      <x:c r="E32" s="17" t="str"/>
      <x:c r="F32" s="17" t="str"/>
      <x:c r="G32" s="18" t="str">
        <x:f>IF(B32="","",SUMIFS(Facturas!G$6:G$105,Facturas!B$6:B$105,"Proveedor",Facturas!C$6:C$105,B32))</x:f>
      </x:c>
    </x:row>
    <x:row r="33">
      <x:c r="A33" s="17" t="str"/>
      <x:c r="B33" s="17" t="str"/>
      <x:c r="C33" s="17" t="str"/>
      <x:c r="D33" s="17" t="str"/>
      <x:c r="E33" s="17" t="str"/>
      <x:c r="F33" s="17" t="str"/>
      <x:c r="G33" s="18" t="str">
        <x:f>IF(B33="","",SUMIFS(Facturas!G$6:G$105,Facturas!B$6:B$105,"Proveedor",Facturas!C$6:C$105,B33))</x:f>
      </x:c>
    </x:row>
    <x:row r="34">
      <x:c r="A34" s="17" t="str"/>
      <x:c r="B34" s="17" t="str"/>
      <x:c r="C34" s="17" t="str"/>
      <x:c r="D34" s="17" t="str"/>
      <x:c r="E34" s="17" t="str"/>
      <x:c r="F34" s="17" t="str"/>
      <x:c r="G34" s="18" t="str">
        <x:f>IF(B34="","",SUMIFS(Facturas!G$6:G$105,Facturas!B$6:B$105,"Proveedor",Facturas!C$6:C$105,B34))</x:f>
      </x:c>
    </x:row>
    <x:row r="35">
      <x:c r="A35" s="17" t="str"/>
      <x:c r="B35" s="17" t="str"/>
      <x:c r="C35" s="17" t="str"/>
      <x:c r="D35" s="17" t="str"/>
      <x:c r="E35" s="17" t="str"/>
      <x:c r="F35" s="17" t="str"/>
      <x:c r="G35" s="18" t="str">
        <x:f>IF(B35="","",SUMIFS(Facturas!G$6:G$105,Facturas!B$6:B$105,"Proveedor",Facturas!C$6:C$105,B35))</x:f>
      </x:c>
    </x:row>
    <x:row r="36">
      <x:c r="A36" s="17" t="str"/>
      <x:c r="B36" s="17" t="str"/>
      <x:c r="C36" s="17" t="str"/>
      <x:c r="D36" s="17" t="str"/>
      <x:c r="E36" s="17" t="str"/>
      <x:c r="F36" s="17" t="str"/>
      <x:c r="G36" s="18" t="str">
        <x:f>IF(B36="","",SUMIFS(Facturas!G$6:G$105,Facturas!B$6:B$105,"Proveedor",Facturas!C$6:C$105,B36))</x:f>
      </x:c>
    </x:row>
    <x:row r="37">
      <x:c r="A37" s="17" t="str"/>
      <x:c r="B37" s="17" t="str"/>
      <x:c r="C37" s="17" t="str"/>
      <x:c r="D37" s="17" t="str"/>
      <x:c r="E37" s="17" t="str"/>
      <x:c r="F37" s="17" t="str"/>
      <x:c r="G37" s="18" t="str">
        <x:f>IF(B37="","",SUMIFS(Facturas!G$6:G$105,Facturas!B$6:B$105,"Proveedor",Facturas!C$6:C$105,B37))</x:f>
      </x:c>
    </x:row>
    <x:row r="38">
      <x:c r="A38" s="17" t="str"/>
      <x:c r="B38" s="17" t="str"/>
      <x:c r="C38" s="17" t="str"/>
      <x:c r="D38" s="17" t="str"/>
      <x:c r="E38" s="17" t="str"/>
      <x:c r="F38" s="17" t="str"/>
      <x:c r="G38" s="18" t="str">
        <x:f>IF(B38="","",SUMIFS(Facturas!G$6:G$105,Facturas!B$6:B$105,"Proveedor",Facturas!C$6:C$105,B38))</x:f>
      </x:c>
    </x:row>
    <x:row r="39">
      <x:c r="A39" s="17" t="str"/>
      <x:c r="B39" s="17" t="str"/>
      <x:c r="C39" s="17" t="str"/>
      <x:c r="D39" s="17" t="str"/>
      <x:c r="E39" s="17" t="str"/>
      <x:c r="F39" s="17" t="str"/>
      <x:c r="G39" s="18" t="str">
        <x:f>IF(B39="","",SUMIFS(Facturas!G$6:G$105,Facturas!B$6:B$105,"Proveedor",Facturas!C$6:C$105,B39))</x:f>
      </x:c>
    </x:row>
    <x:row r="40">
      <x:c r="A40" s="17" t="str"/>
      <x:c r="B40" s="17" t="str"/>
      <x:c r="C40" s="17" t="str"/>
      <x:c r="D40" s="17" t="str"/>
      <x:c r="E40" s="17" t="str"/>
      <x:c r="F40" s="17" t="str"/>
      <x:c r="G40" s="18" t="str">
        <x:f>IF(B40="","",SUMIFS(Facturas!G$6:G$105,Facturas!B$6:B$105,"Proveedor",Facturas!C$6:C$105,B40))</x:f>
      </x:c>
    </x:row>
    <x:row r="41">
      <x:c r="A41" s="17" t="str"/>
      <x:c r="B41" s="17" t="str"/>
      <x:c r="C41" s="17" t="str"/>
      <x:c r="D41" s="17" t="str"/>
      <x:c r="E41" s="17" t="str"/>
      <x:c r="F41" s="17" t="str"/>
      <x:c r="G41" s="18" t="str">
        <x:f>IF(B41="","",SUMIFS(Facturas!G$6:G$105,Facturas!B$6:B$105,"Proveedor",Facturas!C$6:C$105,B41))</x:f>
      </x:c>
    </x:row>
    <x:row r="42">
      <x:c r="A42" s="17" t="str"/>
      <x:c r="B42" s="17" t="str"/>
      <x:c r="C42" s="17" t="str"/>
      <x:c r="D42" s="17" t="str"/>
      <x:c r="E42" s="17" t="str"/>
      <x:c r="F42" s="17" t="str"/>
      <x:c r="G42" s="18" t="str">
        <x:f>IF(B42="","",SUMIFS(Facturas!G$6:G$105,Facturas!B$6:B$105,"Proveedor",Facturas!C$6:C$105,B42))</x:f>
      </x:c>
    </x:row>
    <x:row r="43">
      <x:c r="A43" s="17" t="str"/>
      <x:c r="B43" s="17" t="str"/>
      <x:c r="C43" s="17" t="str"/>
      <x:c r="D43" s="17" t="str"/>
      <x:c r="E43" s="17" t="str"/>
      <x:c r="F43" s="17" t="str"/>
      <x:c r="G43" s="18" t="str">
        <x:f>IF(B43="","",SUMIFS(Facturas!G$6:G$105,Facturas!B$6:B$105,"Proveedor",Facturas!C$6:C$105,B43))</x:f>
      </x:c>
    </x:row>
    <x:row r="44">
      <x:c r="A44" s="17" t="str"/>
      <x:c r="B44" s="17" t="str"/>
      <x:c r="C44" s="17" t="str"/>
      <x:c r="D44" s="17" t="str"/>
      <x:c r="E44" s="17" t="str"/>
      <x:c r="F44" s="17" t="str"/>
      <x:c r="G44" s="18" t="str">
        <x:f>IF(B44="","",SUMIFS(Facturas!G$6:G$105,Facturas!B$6:B$105,"Proveedor",Facturas!C$6:C$105,B44))</x:f>
      </x:c>
    </x:row>
    <x:row r="45">
      <x:c r="A45" s="17" t="str"/>
      <x:c r="B45" s="17" t="str"/>
      <x:c r="C45" s="17" t="str"/>
      <x:c r="D45" s="17" t="str"/>
      <x:c r="E45" s="17" t="str"/>
      <x:c r="F45" s="17" t="str"/>
      <x:c r="G45" s="18" t="str">
        <x:f>IF(B45="","",SUMIFS(Facturas!G$6:G$105,Facturas!B$6:B$105,"Proveedor",Facturas!C$6:C$105,B45))</x:f>
      </x:c>
    </x:row>
    <x:row r="46">
      <x:c r="A46" s="17" t="str"/>
      <x:c r="B46" s="17" t="str"/>
      <x:c r="C46" s="17" t="str"/>
      <x:c r="D46" s="17" t="str"/>
      <x:c r="E46" s="17" t="str"/>
      <x:c r="F46" s="17" t="str"/>
      <x:c r="G46" s="18" t="str">
        <x:f>IF(B46="","",SUMIFS(Facturas!G$6:G$105,Facturas!B$6:B$105,"Proveedor",Facturas!C$6:C$105,B46))</x:f>
      </x:c>
    </x:row>
    <x:row r="47">
      <x:c r="A47" s="17" t="str"/>
      <x:c r="B47" s="17" t="str"/>
      <x:c r="C47" s="17" t="str"/>
      <x:c r="D47" s="17" t="str"/>
      <x:c r="E47" s="17" t="str"/>
      <x:c r="F47" s="17" t="str"/>
      <x:c r="G47" s="18" t="str">
        <x:f>IF(B47="","",SUMIFS(Facturas!G$6:G$105,Facturas!B$6:B$105,"Proveedor",Facturas!C$6:C$105,B47))</x:f>
      </x:c>
    </x:row>
    <x:row r="48">
      <x:c r="A48" s="17" t="str"/>
      <x:c r="B48" s="17" t="str"/>
      <x:c r="C48" s="17" t="str"/>
      <x:c r="D48" s="17" t="str"/>
      <x:c r="E48" s="17" t="str"/>
      <x:c r="F48" s="17" t="str"/>
      <x:c r="G48" s="18" t="str">
        <x:f>IF(B48="","",SUMIFS(Facturas!G$6:G$105,Facturas!B$6:B$105,"Proveedor",Facturas!C$6:C$105,B48))</x:f>
      </x:c>
    </x:row>
    <x:row r="49">
      <x:c r="A49" s="17" t="str"/>
      <x:c r="B49" s="17" t="str"/>
      <x:c r="C49" s="17" t="str"/>
      <x:c r="D49" s="17" t="str"/>
      <x:c r="E49" s="17" t="str"/>
      <x:c r="F49" s="17" t="str"/>
      <x:c r="G49" s="18" t="str">
        <x:f>IF(B49="","",SUMIFS(Facturas!G$6:G$105,Facturas!B$6:B$105,"Proveedor",Facturas!C$6:C$105,B49))</x:f>
      </x:c>
    </x:row>
    <x:row r="50">
      <x:c r="A50" s="17" t="str"/>
      <x:c r="B50" s="17" t="str"/>
      <x:c r="C50" s="17" t="str"/>
      <x:c r="D50" s="17" t="str"/>
      <x:c r="E50" s="17" t="str"/>
      <x:c r="F50" s="17" t="str"/>
      <x:c r="G50" s="18" t="str">
        <x:f>IF(B50="","",SUMIFS(Facturas!G$6:G$105,Facturas!B$6:B$105,"Proveedor",Facturas!C$6:C$105,B50))</x:f>
      </x:c>
    </x:row>
    <x:row r="51">
      <x:c r="A51" s="17" t="str"/>
      <x:c r="B51" s="17" t="str"/>
      <x:c r="C51" s="17" t="str"/>
      <x:c r="D51" s="17" t="str"/>
      <x:c r="E51" s="17" t="str"/>
      <x:c r="F51" s="17" t="str"/>
      <x:c r="G51" s="18" t="str">
        <x:f>IF(B51="","",SUMIFS(Facturas!G$6:G$105,Facturas!B$6:B$105,"Proveedor",Facturas!C$6:C$105,B51))</x:f>
      </x:c>
    </x:row>
    <x:row r="52">
      <x:c r="A52" s="17" t="str"/>
      <x:c r="B52" s="17" t="str"/>
      <x:c r="C52" s="17" t="str"/>
      <x:c r="D52" s="17" t="str"/>
      <x:c r="E52" s="17" t="str"/>
      <x:c r="F52" s="17" t="str"/>
      <x:c r="G52" s="18" t="str">
        <x:f>IF(B52="","",SUMIFS(Facturas!G$6:G$105,Facturas!B$6:B$105,"Proveedor",Facturas!C$6:C$105,B52))</x:f>
      </x:c>
    </x:row>
    <x:row r="53">
      <x:c r="A53" s="17" t="str"/>
      <x:c r="B53" s="17" t="str"/>
      <x:c r="C53" s="17" t="str"/>
      <x:c r="D53" s="17" t="str"/>
      <x:c r="E53" s="17" t="str"/>
      <x:c r="F53" s="17" t="str"/>
      <x:c r="G53" s="18" t="str">
        <x:f>IF(B53="","",SUMIFS(Facturas!G$6:G$105,Facturas!B$6:B$105,"Proveedor",Facturas!C$6:C$105,B53))</x:f>
      </x:c>
    </x:row>
    <x:row r="54">
      <x:c r="A54" s="17" t="str"/>
      <x:c r="B54" s="17" t="str"/>
      <x:c r="C54" s="17" t="str"/>
      <x:c r="D54" s="17" t="str"/>
      <x:c r="E54" s="17" t="str"/>
      <x:c r="F54" s="17" t="str"/>
      <x:c r="G54" s="18" t="str">
        <x:f>IF(B54="","",SUMIFS(Facturas!G$6:G$105,Facturas!B$6:B$105,"Proveedor",Facturas!C$6:C$105,B54))</x:f>
      </x:c>
    </x:row>
    <x:row r="55">
      <x:c r="A55" s="17" t="str"/>
      <x:c r="B55" s="17" t="str"/>
      <x:c r="C55" s="17" t="str"/>
      <x:c r="D55" s="17" t="str"/>
      <x:c r="E55" s="17" t="str"/>
      <x:c r="F55" s="17" t="str"/>
      <x:c r="G55" s="18" t="str">
        <x:f>IF(B55="","",SUMIFS(Facturas!G$6:G$105,Facturas!B$6:B$105,"Proveedor",Facturas!C$6:C$105,B55))</x:f>
      </x:c>
    </x:row>
    <x:row r="56">
      <x:c r="A56" s="17" t="str"/>
      <x:c r="B56" s="17" t="str"/>
      <x:c r="C56" s="17" t="str"/>
      <x:c r="D56" s="17" t="str"/>
      <x:c r="E56" s="17" t="str"/>
      <x:c r="F56" s="17" t="str"/>
      <x:c r="G56" s="18" t="str">
        <x:f>IF(B56="","",SUMIFS(Facturas!G$6:G$105,Facturas!B$6:B$105,"Proveedor",Facturas!C$6:C$105,B56))</x:f>
      </x:c>
    </x:row>
    <x:row r="57">
      <x:c r="A57" s="17" t="str"/>
      <x:c r="B57" s="17" t="str"/>
      <x:c r="C57" s="17" t="str"/>
      <x:c r="D57" s="17" t="str"/>
      <x:c r="E57" s="17" t="str"/>
      <x:c r="F57" s="17" t="str"/>
      <x:c r="G57" s="18" t="str">
        <x:f>IF(B57="","",SUMIFS(Facturas!G$6:G$105,Facturas!B$6:B$105,"Proveedor",Facturas!C$6:C$105,B57))</x:f>
      </x:c>
    </x:row>
    <x:row r="58">
      <x:c r="A58" s="17" t="str"/>
      <x:c r="B58" s="17" t="str"/>
      <x:c r="C58" s="17" t="str"/>
      <x:c r="D58" s="17" t="str"/>
      <x:c r="E58" s="17" t="str"/>
      <x:c r="F58" s="17" t="str"/>
      <x:c r="G58" s="18" t="str">
        <x:f>IF(B58="","",SUMIFS(Facturas!G$6:G$105,Facturas!B$6:B$105,"Proveedor",Facturas!C$6:C$105,B58))</x:f>
      </x:c>
    </x:row>
    <x:row r="59">
      <x:c r="A59" s="17" t="str"/>
      <x:c r="B59" s="17" t="str"/>
      <x:c r="C59" s="17" t="str"/>
      <x:c r="D59" s="17" t="str"/>
      <x:c r="E59" s="17" t="str"/>
      <x:c r="F59" s="17" t="str"/>
      <x:c r="G59" s="18" t="str">
        <x:f>IF(B59="","",SUMIFS(Facturas!G$6:G$105,Facturas!B$6:B$105,"Proveedor",Facturas!C$6:C$105,B59))</x:f>
      </x:c>
    </x:row>
    <x:row r="60">
      <x:c r="A60" s="17" t="str"/>
      <x:c r="B60" s="17" t="str"/>
      <x:c r="C60" s="17" t="str"/>
      <x:c r="D60" s="17" t="str"/>
      <x:c r="E60" s="17" t="str"/>
      <x:c r="F60" s="17" t="str"/>
      <x:c r="G60" s="18" t="str">
        <x:f>IF(B60="","",SUMIFS(Facturas!G$6:G$105,Facturas!B$6:B$105,"Proveedor",Facturas!C$6:C$105,B60))</x:f>
      </x:c>
    </x:row>
    <x:row r="61">
      <x:c r="A61" s="17" t="str"/>
      <x:c r="B61" s="17" t="str"/>
      <x:c r="C61" s="17" t="str"/>
      <x:c r="D61" s="17" t="str"/>
      <x:c r="E61" s="17" t="str"/>
      <x:c r="F61" s="17" t="str"/>
      <x:c r="G61" s="18" t="str">
        <x:f>IF(B61="","",SUMIFS(Facturas!G$6:G$105,Facturas!B$6:B$105,"Proveedor",Facturas!C$6:C$105,B61))</x:f>
      </x:c>
    </x:row>
    <x:row r="62">
      <x:c r="A62" s="17" t="str"/>
      <x:c r="B62" s="17" t="str"/>
      <x:c r="C62" s="17" t="str"/>
      <x:c r="D62" s="17" t="str"/>
      <x:c r="E62" s="17" t="str"/>
      <x:c r="F62" s="17" t="str"/>
      <x:c r="G62" s="18" t="str">
        <x:f>IF(B62="","",SUMIFS(Facturas!G$6:G$105,Facturas!B$6:B$105,"Proveedor",Facturas!C$6:C$105,B62))</x:f>
      </x:c>
    </x:row>
    <x:row r="63">
      <x:c r="A63" s="17" t="str"/>
      <x:c r="B63" s="17" t="str"/>
      <x:c r="C63" s="17" t="str"/>
      <x:c r="D63" s="17" t="str"/>
      <x:c r="E63" s="17" t="str"/>
      <x:c r="F63" s="17" t="str"/>
      <x:c r="G63" s="18" t="str">
        <x:f>IF(B63="","",SUMIFS(Facturas!G$6:G$105,Facturas!B$6:B$105,"Proveedor",Facturas!C$6:C$105,B63))</x:f>
      </x:c>
    </x:row>
    <x:row r="64">
      <x:c r="A64" s="17" t="str"/>
      <x:c r="B64" s="17" t="str"/>
      <x:c r="C64" s="17" t="str"/>
      <x:c r="D64" s="17" t="str"/>
      <x:c r="E64" s="17" t="str"/>
      <x:c r="F64" s="17" t="str"/>
      <x:c r="G64" s="18" t="str">
        <x:f>IF(B64="","",SUMIFS(Facturas!G$6:G$105,Facturas!B$6:B$105,"Proveedor",Facturas!C$6:C$105,B64))</x:f>
      </x:c>
    </x:row>
    <x:row r="65">
      <x:c r="A65" s="17" t="str"/>
      <x:c r="B65" s="17" t="str"/>
      <x:c r="C65" s="17" t="str"/>
      <x:c r="D65" s="17" t="str"/>
      <x:c r="E65" s="17" t="str"/>
      <x:c r="F65" s="17" t="str"/>
      <x:c r="G65" s="18" t="str">
        <x:f>IF(B65="","",SUMIFS(Facturas!G$6:G$105,Facturas!B$6:B$105,"Proveedor",Facturas!C$6:C$105,B65))</x:f>
      </x:c>
    </x:row>
    <x:row r="66">
      <x:c r="A66" s="17" t="str"/>
      <x:c r="B66" s="17" t="str"/>
      <x:c r="C66" s="17" t="str"/>
      <x:c r="D66" s="17" t="str"/>
      <x:c r="E66" s="17" t="str"/>
      <x:c r="F66" s="17" t="str"/>
      <x:c r="G66" s="18" t="str">
        <x:f>IF(B66="","",SUMIFS(Facturas!G$6:G$105,Facturas!B$6:B$105,"Proveedor",Facturas!C$6:C$105,B66))</x:f>
      </x:c>
    </x:row>
    <x:row r="67">
      <x:c r="A67" s="17" t="str"/>
      <x:c r="B67" s="17" t="str"/>
      <x:c r="C67" s="17" t="str"/>
      <x:c r="D67" s="17" t="str"/>
      <x:c r="E67" s="17" t="str"/>
      <x:c r="F67" s="17" t="str"/>
      <x:c r="G67" s="18" t="str">
        <x:f>IF(B67="","",SUMIFS(Facturas!G$6:G$105,Facturas!B$6:B$105,"Proveedor",Facturas!C$6:C$105,B67))</x:f>
      </x:c>
    </x:row>
    <x:row r="68">
      <x:c r="A68" s="17" t="str"/>
      <x:c r="B68" s="17" t="str"/>
      <x:c r="C68" s="17" t="str"/>
      <x:c r="D68" s="17" t="str"/>
      <x:c r="E68" s="17" t="str"/>
      <x:c r="F68" s="17" t="str"/>
      <x:c r="G68" s="18" t="str">
        <x:f>IF(B68="","",SUMIFS(Facturas!G$6:G$105,Facturas!B$6:B$105,"Proveedor",Facturas!C$6:C$105,B68))</x:f>
      </x:c>
    </x:row>
    <x:row r="69">
      <x:c r="A69" s="17" t="str"/>
      <x:c r="B69" s="17" t="str"/>
      <x:c r="C69" s="17" t="str"/>
      <x:c r="D69" s="17" t="str"/>
      <x:c r="E69" s="17" t="str"/>
      <x:c r="F69" s="17" t="str"/>
      <x:c r="G69" s="18" t="str">
        <x:f>IF(B69="","",SUMIFS(Facturas!G$6:G$105,Facturas!B$6:B$105,"Proveedor",Facturas!C$6:C$105,B69))</x:f>
      </x:c>
    </x:row>
    <x:row r="70">
      <x:c r="A70" s="17" t="str"/>
      <x:c r="B70" s="17" t="str"/>
      <x:c r="C70" s="17" t="str"/>
      <x:c r="D70" s="17" t="str"/>
      <x:c r="E70" s="17" t="str"/>
      <x:c r="F70" s="17" t="str"/>
      <x:c r="G70" s="18" t="str">
        <x:f>IF(B70="","",SUMIFS(Facturas!G$6:G$105,Facturas!B$6:B$105,"Proveedor",Facturas!C$6:C$105,B70))</x:f>
      </x:c>
    </x:row>
    <x:row r="71">
      <x:c r="A71" s="17" t="str"/>
      <x:c r="B71" s="17" t="str"/>
      <x:c r="C71" s="17" t="str"/>
      <x:c r="D71" s="17" t="str"/>
      <x:c r="E71" s="17" t="str"/>
      <x:c r="F71" s="17" t="str"/>
      <x:c r="G71" s="18" t="str">
        <x:f>IF(B71="","",SUMIFS(Facturas!G$6:G$105,Facturas!B$6:B$105,"Proveedor",Facturas!C$6:C$105,B71))</x:f>
      </x:c>
    </x:row>
    <x:row r="72">
      <x:c r="A72" s="17" t="str"/>
      <x:c r="B72" s="17" t="str"/>
      <x:c r="C72" s="17" t="str"/>
      <x:c r="D72" s="17" t="str"/>
      <x:c r="E72" s="17" t="str"/>
      <x:c r="F72" s="17" t="str"/>
      <x:c r="G72" s="18" t="str">
        <x:f>IF(B72="","",SUMIFS(Facturas!G$6:G$105,Facturas!B$6:B$105,"Proveedor",Facturas!C$6:C$105,B72))</x:f>
      </x:c>
    </x:row>
    <x:row r="73">
      <x:c r="A73" s="17" t="str"/>
      <x:c r="B73" s="17" t="str"/>
      <x:c r="C73" s="17" t="str"/>
      <x:c r="D73" s="17" t="str"/>
      <x:c r="E73" s="17" t="str"/>
      <x:c r="F73" s="17" t="str"/>
      <x:c r="G73" s="18" t="str">
        <x:f>IF(B73="","",SUMIFS(Facturas!G$6:G$105,Facturas!B$6:B$105,"Proveedor",Facturas!C$6:C$105,B73))</x:f>
      </x:c>
    </x:row>
    <x:row r="74">
      <x:c r="A74" s="17" t="str"/>
      <x:c r="B74" s="17" t="str"/>
      <x:c r="C74" s="17" t="str"/>
      <x:c r="D74" s="17" t="str"/>
      <x:c r="E74" s="17" t="str"/>
      <x:c r="F74" s="17" t="str"/>
      <x:c r="G74" s="18" t="str">
        <x:f>IF(B74="","",SUMIFS(Facturas!G$6:G$105,Facturas!B$6:B$105,"Proveedor",Facturas!C$6:C$105,B74))</x:f>
      </x:c>
    </x:row>
    <x:row r="75">
      <x:c r="A75" s="17" t="str"/>
      <x:c r="B75" s="17" t="str"/>
      <x:c r="C75" s="17" t="str"/>
      <x:c r="D75" s="17" t="str"/>
      <x:c r="E75" s="17" t="str"/>
      <x:c r="F75" s="17" t="str"/>
      <x:c r="G75" s="18" t="str">
        <x:f>IF(B75="","",SUMIFS(Facturas!G$6:G$105,Facturas!B$6:B$105,"Proveedor",Facturas!C$6:C$105,B75))</x:f>
      </x:c>
    </x:row>
    <x:row r="76">
      <x:c r="A76" s="17" t="str"/>
      <x:c r="B76" s="17" t="str"/>
      <x:c r="C76" s="17" t="str"/>
      <x:c r="D76" s="17" t="str"/>
      <x:c r="E76" s="17" t="str"/>
      <x:c r="F76" s="17" t="str"/>
      <x:c r="G76" s="18" t="str">
        <x:f>IF(B76="","",SUMIFS(Facturas!G$6:G$105,Facturas!B$6:B$105,"Proveedor",Facturas!C$6:C$105,B76))</x:f>
      </x:c>
    </x:row>
    <x:row r="77">
      <x:c r="A77" s="17" t="str"/>
      <x:c r="B77" s="17" t="str"/>
      <x:c r="C77" s="17" t="str"/>
      <x:c r="D77" s="17" t="str"/>
      <x:c r="E77" s="17" t="str"/>
      <x:c r="F77" s="17" t="str"/>
      <x:c r="G77" s="18" t="str">
        <x:f>IF(B77="","",SUMIFS(Facturas!G$6:G$105,Facturas!B$6:B$105,"Proveedor",Facturas!C$6:C$105,B77))</x:f>
      </x:c>
    </x:row>
    <x:row r="78">
      <x:c r="A78" s="17" t="str"/>
      <x:c r="B78" s="17" t="str"/>
      <x:c r="C78" s="17" t="str"/>
      <x:c r="D78" s="17" t="str"/>
      <x:c r="E78" s="17" t="str"/>
      <x:c r="F78" s="17" t="str"/>
      <x:c r="G78" s="18" t="str">
        <x:f>IF(B78="","",SUMIFS(Facturas!G$6:G$105,Facturas!B$6:B$105,"Proveedor",Facturas!C$6:C$105,B78))</x:f>
      </x:c>
    </x:row>
    <x:row r="79">
      <x:c r="A79" s="17" t="str"/>
      <x:c r="B79" s="17" t="str"/>
      <x:c r="C79" s="17" t="str"/>
      <x:c r="D79" s="17" t="str"/>
      <x:c r="E79" s="17" t="str"/>
      <x:c r="F79" s="17" t="str"/>
      <x:c r="G79" s="18" t="str">
        <x:f>IF(B79="","",SUMIFS(Facturas!G$6:G$105,Facturas!B$6:B$105,"Proveedor",Facturas!C$6:C$105,B79))</x:f>
      </x:c>
    </x:row>
    <x:row r="80">
      <x:c r="A80" s="17" t="str"/>
      <x:c r="B80" s="17" t="str"/>
      <x:c r="C80" s="17" t="str"/>
      <x:c r="D80" s="17" t="str"/>
      <x:c r="E80" s="17" t="str"/>
      <x:c r="F80" s="17" t="str"/>
      <x:c r="G80" s="18" t="str">
        <x:f>IF(B80="","",SUMIFS(Facturas!G$6:G$105,Facturas!B$6:B$105,"Proveedor",Facturas!C$6:C$105,B80))</x:f>
      </x:c>
    </x:row>
    <x:row r="81">
      <x:c r="A81" s="17" t="str"/>
      <x:c r="B81" s="17" t="str"/>
      <x:c r="C81" s="17" t="str"/>
      <x:c r="D81" s="17" t="str"/>
      <x:c r="E81" s="17" t="str"/>
      <x:c r="F81" s="17" t="str"/>
      <x:c r="G81" s="18" t="str">
        <x:f>IF(B81="","",SUMIFS(Facturas!G$6:G$105,Facturas!B$6:B$105,"Proveedor",Facturas!C$6:C$105,B81))</x:f>
      </x:c>
    </x:row>
    <x:row r="82">
      <x:c r="A82" s="17" t="str"/>
      <x:c r="B82" s="17" t="str"/>
      <x:c r="C82" s="17" t="str"/>
      <x:c r="D82" s="17" t="str"/>
      <x:c r="E82" s="17" t="str"/>
      <x:c r="F82" s="17" t="str"/>
      <x:c r="G82" s="18" t="str">
        <x:f>IF(B82="","",SUMIFS(Facturas!G$6:G$105,Facturas!B$6:B$105,"Proveedor",Facturas!C$6:C$105,B82))</x:f>
      </x:c>
    </x:row>
    <x:row r="83">
      <x:c r="A83" s="17" t="str"/>
      <x:c r="B83" s="17" t="str"/>
      <x:c r="C83" s="17" t="str"/>
      <x:c r="D83" s="17" t="str"/>
      <x:c r="E83" s="17" t="str"/>
      <x:c r="F83" s="17" t="str"/>
      <x:c r="G83" s="18" t="str">
        <x:f>IF(B83="","",SUMIFS(Facturas!G$6:G$105,Facturas!B$6:B$105,"Proveedor",Facturas!C$6:C$105,B83))</x:f>
      </x:c>
    </x:row>
    <x:row r="84">
      <x:c r="A84" s="17" t="str"/>
      <x:c r="B84" s="17" t="str"/>
      <x:c r="C84" s="17" t="str"/>
      <x:c r="D84" s="17" t="str"/>
      <x:c r="E84" s="17" t="str"/>
      <x:c r="F84" s="17" t="str"/>
      <x:c r="G84" s="18" t="str">
        <x:f>IF(B84="","",SUMIFS(Facturas!G$6:G$105,Facturas!B$6:B$105,"Proveedor",Facturas!C$6:C$105,B84))</x:f>
      </x:c>
    </x:row>
    <x:row r="85">
      <x:c r="A85" s="17" t="str"/>
      <x:c r="B85" s="17" t="str"/>
      <x:c r="C85" s="17" t="str"/>
      <x:c r="D85" s="17" t="str"/>
      <x:c r="E85" s="17" t="str"/>
      <x:c r="F85" s="17" t="str"/>
      <x:c r="G85" s="18" t="str">
        <x:f>IF(B85="","",SUMIFS(Facturas!G$6:G$105,Facturas!B$6:B$105,"Proveedor",Facturas!C$6:C$105,B85))</x:f>
      </x:c>
    </x:row>
    <x:row r="86">
      <x:c r="A86" s="17" t="str"/>
      <x:c r="B86" s="17" t="str"/>
      <x:c r="C86" s="17" t="str"/>
      <x:c r="D86" s="17" t="str"/>
      <x:c r="E86" s="17" t="str"/>
      <x:c r="F86" s="17" t="str"/>
      <x:c r="G86" s="18" t="str">
        <x:f>IF(B86="","",SUMIFS(Facturas!G$6:G$105,Facturas!B$6:B$105,"Proveedor",Facturas!C$6:C$105,B86))</x:f>
      </x:c>
    </x:row>
    <x:row r="87">
      <x:c r="A87" s="17" t="str"/>
      <x:c r="B87" s="17" t="str"/>
      <x:c r="C87" s="17" t="str"/>
      <x:c r="D87" s="17" t="str"/>
      <x:c r="E87" s="17" t="str"/>
      <x:c r="F87" s="17" t="str"/>
      <x:c r="G87" s="18" t="str">
        <x:f>IF(B87="","",SUMIFS(Facturas!G$6:G$105,Facturas!B$6:B$105,"Proveedor",Facturas!C$6:C$105,B87))</x:f>
      </x:c>
    </x:row>
    <x:row r="88">
      <x:c r="A88" s="17" t="str"/>
      <x:c r="B88" s="17" t="str"/>
      <x:c r="C88" s="17" t="str"/>
      <x:c r="D88" s="17" t="str"/>
      <x:c r="E88" s="17" t="str"/>
      <x:c r="F88" s="17" t="str"/>
      <x:c r="G88" s="18" t="str">
        <x:f>IF(B88="","",SUMIFS(Facturas!G$6:G$105,Facturas!B$6:B$105,"Proveedor",Facturas!C$6:C$105,B88))</x:f>
      </x:c>
    </x:row>
    <x:row r="89">
      <x:c r="A89" s="17" t="str"/>
      <x:c r="B89" s="17" t="str"/>
      <x:c r="C89" s="17" t="str"/>
      <x:c r="D89" s="17" t="str"/>
      <x:c r="E89" s="17" t="str"/>
      <x:c r="F89" s="17" t="str"/>
      <x:c r="G89" s="18" t="str">
        <x:f>IF(B89="","",SUMIFS(Facturas!G$6:G$105,Facturas!B$6:B$105,"Proveedor",Facturas!C$6:C$105,B89))</x:f>
      </x:c>
    </x:row>
    <x:row r="90">
      <x:c r="A90" s="17" t="str"/>
      <x:c r="B90" s="17" t="str"/>
      <x:c r="C90" s="17" t="str"/>
      <x:c r="D90" s="17" t="str"/>
      <x:c r="E90" s="17" t="str"/>
      <x:c r="F90" s="17" t="str"/>
      <x:c r="G90" s="18" t="str">
        <x:f>IF(B90="","",SUMIFS(Facturas!G$6:G$105,Facturas!B$6:B$105,"Proveedor",Facturas!C$6:C$105,B90))</x:f>
      </x:c>
    </x:row>
    <x:row r="91">
      <x:c r="A91" s="17" t="str"/>
      <x:c r="B91" s="17" t="str"/>
      <x:c r="C91" s="17" t="str"/>
      <x:c r="D91" s="17" t="str"/>
      <x:c r="E91" s="17" t="str"/>
      <x:c r="F91" s="17" t="str"/>
      <x:c r="G91" s="18" t="str">
        <x:f>IF(B91="","",SUMIFS(Facturas!G$6:G$105,Facturas!B$6:B$105,"Proveedor",Facturas!C$6:C$105,B91))</x:f>
      </x:c>
    </x:row>
    <x:row r="92">
      <x:c r="A92" s="17" t="str"/>
      <x:c r="B92" s="17" t="str"/>
      <x:c r="C92" s="17" t="str"/>
      <x:c r="D92" s="17" t="str"/>
      <x:c r="E92" s="17" t="str"/>
      <x:c r="F92" s="17" t="str"/>
      <x:c r="G92" s="18" t="str">
        <x:f>IF(B92="","",SUMIFS(Facturas!G$6:G$105,Facturas!B$6:B$105,"Proveedor",Facturas!C$6:C$105,B92))</x:f>
      </x:c>
    </x:row>
    <x:row r="93">
      <x:c r="A93" s="17" t="str"/>
      <x:c r="B93" s="17" t="str"/>
      <x:c r="C93" s="17" t="str"/>
      <x:c r="D93" s="17" t="str"/>
      <x:c r="E93" s="17" t="str"/>
      <x:c r="F93" s="17" t="str"/>
      <x:c r="G93" s="18" t="str">
        <x:f>IF(B93="","",SUMIFS(Facturas!G$6:G$105,Facturas!B$6:B$105,"Proveedor",Facturas!C$6:C$105,B93))</x:f>
      </x:c>
    </x:row>
    <x:row r="94">
      <x:c r="A94" s="17" t="str"/>
      <x:c r="B94" s="17" t="str"/>
      <x:c r="C94" s="17" t="str"/>
      <x:c r="D94" s="17" t="str"/>
      <x:c r="E94" s="17" t="str"/>
      <x:c r="F94" s="17" t="str"/>
      <x:c r="G94" s="18" t="str">
        <x:f>IF(B94="","",SUMIFS(Facturas!G$6:G$105,Facturas!B$6:B$105,"Proveedor",Facturas!C$6:C$105,B94))</x:f>
      </x:c>
    </x:row>
    <x:row r="95">
      <x:c r="A95" s="17" t="str"/>
      <x:c r="B95" s="17" t="str"/>
      <x:c r="C95" s="17" t="str"/>
      <x:c r="D95" s="17" t="str"/>
      <x:c r="E95" s="17" t="str"/>
      <x:c r="F95" s="17" t="str"/>
      <x:c r="G95" s="18" t="str">
        <x:f>IF(B95="","",SUMIFS(Facturas!G$6:G$105,Facturas!B$6:B$105,"Proveedor",Facturas!C$6:C$105,B95))</x:f>
      </x:c>
    </x:row>
    <x:row r="96">
      <x:c r="A96" s="17" t="str"/>
      <x:c r="B96" s="17" t="str"/>
      <x:c r="C96" s="17" t="str"/>
      <x:c r="D96" s="17" t="str"/>
      <x:c r="E96" s="17" t="str"/>
      <x:c r="F96" s="17" t="str"/>
      <x:c r="G96" s="18" t="str">
        <x:f>IF(B96="","",SUMIFS(Facturas!G$6:G$105,Facturas!B$6:B$105,"Proveedor",Facturas!C$6:C$105,B96))</x:f>
      </x:c>
    </x:row>
    <x:row r="97">
      <x:c r="A97" s="17" t="str"/>
      <x:c r="B97" s="17" t="str"/>
      <x:c r="C97" s="17" t="str"/>
      <x:c r="D97" s="17" t="str"/>
      <x:c r="E97" s="17" t="str"/>
      <x:c r="F97" s="17" t="str"/>
      <x:c r="G97" s="18" t="str">
        <x:f>IF(B97="","",SUMIFS(Facturas!G$6:G$105,Facturas!B$6:B$105,"Proveedor",Facturas!C$6:C$105,B97))</x:f>
      </x:c>
    </x:row>
    <x:row r="98">
      <x:c r="A98" s="17" t="str"/>
      <x:c r="B98" s="17" t="str"/>
      <x:c r="C98" s="17" t="str"/>
      <x:c r="D98" s="17" t="str"/>
      <x:c r="E98" s="17" t="str"/>
      <x:c r="F98" s="17" t="str"/>
      <x:c r="G98" s="18" t="str">
        <x:f>IF(B98="","",SUMIFS(Facturas!G$6:G$105,Facturas!B$6:B$105,"Proveedor",Facturas!C$6:C$105,B98))</x:f>
      </x:c>
    </x:row>
    <x:row r="99">
      <x:c r="A99" s="17" t="str"/>
      <x:c r="B99" s="17" t="str"/>
      <x:c r="C99" s="17" t="str"/>
      <x:c r="D99" s="17" t="str"/>
      <x:c r="E99" s="17" t="str"/>
      <x:c r="F99" s="17" t="str"/>
      <x:c r="G99" s="18" t="str">
        <x:f>IF(B99="","",SUMIFS(Facturas!G$6:G$105,Facturas!B$6:B$105,"Proveedor",Facturas!C$6:C$105,B99))</x:f>
      </x:c>
    </x:row>
    <x:row r="100">
      <x:c r="A100" s="17" t="str"/>
      <x:c r="B100" s="17" t="str"/>
      <x:c r="C100" s="17" t="str"/>
      <x:c r="D100" s="17" t="str"/>
      <x:c r="E100" s="17" t="str"/>
      <x:c r="F100" s="17" t="str"/>
      <x:c r="G100" s="18" t="str">
        <x:f>IF(B100="","",SUMIFS(Facturas!G$6:G$105,Facturas!B$6:B$105,"Proveedor",Facturas!C$6:C$105,B100))</x:f>
      </x:c>
    </x:row>
    <x:row r="101">
      <x:c r="A101" s="17" t="str"/>
      <x:c r="B101" s="17" t="str"/>
      <x:c r="C101" s="17" t="str"/>
      <x:c r="D101" s="17" t="str"/>
      <x:c r="E101" s="17" t="str"/>
      <x:c r="F101" s="17" t="str"/>
      <x:c r="G101" s="18" t="str">
        <x:f>IF(B101="","",SUMIFS(Facturas!G$6:G$105,Facturas!B$6:B$105,"Proveedor",Facturas!C$6:C$105,B101))</x:f>
      </x:c>
    </x:row>
    <x:row r="102">
      <x:c r="A102" s="17" t="str"/>
      <x:c r="B102" s="17" t="str"/>
      <x:c r="C102" s="17" t="str"/>
      <x:c r="D102" s="17" t="str"/>
      <x:c r="E102" s="17" t="str"/>
      <x:c r="F102" s="17" t="str"/>
      <x:c r="G102" s="18" t="str">
        <x:f>IF(B102="","",SUMIFS(Facturas!G$6:G$105,Facturas!B$6:B$105,"Proveedor",Facturas!C$6:C$105,B102))</x:f>
      </x:c>
    </x:row>
    <x:row r="103">
      <x:c r="A103" s="17" t="str"/>
      <x:c r="B103" s="17" t="str"/>
      <x:c r="C103" s="17" t="str"/>
      <x:c r="D103" s="17" t="str"/>
      <x:c r="E103" s="17" t="str"/>
      <x:c r="F103" s="17" t="str"/>
      <x:c r="G103" s="18" t="str">
        <x:f>IF(B103="","",SUMIFS(Facturas!G$6:G$105,Facturas!B$6:B$105,"Proveedor",Facturas!C$6:C$105,B103))</x:f>
      </x:c>
    </x:row>
    <x:row r="104">
      <x:c r="A104" s="17" t="str"/>
      <x:c r="B104" s="17" t="str"/>
      <x:c r="C104" s="17" t="str"/>
      <x:c r="D104" s="17" t="str"/>
      <x:c r="E104" s="17" t="str"/>
      <x:c r="F104" s="17" t="str"/>
      <x:c r="G104" s="18" t="str">
        <x:f>IF(B104="","",SUMIFS(Facturas!G$6:G$105,Facturas!B$6:B$105,"Proveedor",Facturas!C$6:C$105,B104))</x:f>
      </x:c>
    </x:row>
    <x:row r="105">
      <x:c r="A105" s="17" t="str"/>
      <x:c r="B105" s="17" t="str"/>
      <x:c r="C105" s="17" t="str"/>
      <x:c r="D105" s="17" t="str"/>
      <x:c r="E105" s="17" t="str"/>
      <x:c r="F105" s="17" t="str"/>
      <x:c r="G105" s="18" t="str">
        <x:f>IF(B105="","",SUMIFS(Facturas!G$6:G$105,Facturas!B$6:B$105,"Proveedor",Facturas!C$6:C$105,B105))</x:f>
      </x:c>
    </x:row>
  </x:sheetData>
  <x:mergeCells>
    <x:mergeCell ref="A1:G1"/>
    <x:mergeCell ref="A2:H2"/>
  </x:mergeCells>
  <x:pageMargins left="0.7" right="0.7" top="0.75" bottom="0.75" header="0.3" footer="0.3"/>
  <x:tableParts count="1">
    <x:tablePart xmlns:r="http://schemas.openxmlformats.org/officeDocument/2006/relationships" r:id="Ra210eab7492d49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0" hidden="0" customWidth="1"/>
    <x:col min="3" max="3" width="38.75" hidden="0" customWidth="1"/>
  </x:cols>
  <x:sheetData>
    <x:row r="1" ht="31.5" customHeight="1">
      <x:c r="A1" s="4" t="str">
        <x:v>Categorias</x:v>
      </x:c>
      <x:c r="B1" s="4" t="str">
        <x:v>Categorias</x:v>
      </x:c>
      <x:c r="C1" s="4" t="str">
        <x:v>Categorias</x:v>
      </x:c>
    </x:row>
    <x:row r="2">
      <x:c r="A2" s="8" t="str">
        <x:v>Catalogo editable para clasificar movimientos</x:v>
      </x:c>
      <x:c r="B2" s="8" t="str">
        <x:v>Catalogo editable para clasificar movimientos</x:v>
      </x:c>
      <x:c r="C2" s="8" t="str">
        <x:v>Catalogo editable para clasificar movimientos</x:v>
      </x:c>
      <x:c r="D2" s="8" t="str">
        <x:v>Catalogo editable para clasificar movimientos</x:v>
      </x:c>
      <x:c r="E2" s="8" t="str">
        <x:v>Catalogo editable para clasificar movimientos</x:v>
      </x:c>
      <x:c r="F2" s="8" t="str">
        <x:v>Catalogo editable para clasificar movimientos</x:v>
      </x:c>
      <x:c r="G2" s="8" t="str">
        <x:v>Catalogo editable para clasificar movimientos</x:v>
      </x:c>
      <x:c r="H2" s="8" t="str">
        <x:v>Catalogo editable para clasificar movimientos</x:v>
      </x:c>
    </x:row>
    <x:row r="5">
      <x:c r="A5" s="62" t="str">
        <x:v>Tipo</x:v>
      </x:c>
      <x:c r="B5" s="62" t="str">
        <x:v>Categoria</x:v>
      </x:c>
      <x:c r="C5" s="62" t="str">
        <x:v>Descripcion</x:v>
      </x:c>
    </x:row>
    <x:row r="6">
      <x:c r="A6" s="17" t="str">
        <x:v>Ingreso</x:v>
      </x:c>
      <x:c r="B6" s="17" t="str">
        <x:v>Ventas</x:v>
      </x:c>
      <x:c r="C6" s="17" t="str">
        <x:v>Ventas de productos o servicios</x:v>
      </x:c>
    </x:row>
    <x:row r="7">
      <x:c r="A7" s="17" t="str">
        <x:v>Ingreso</x:v>
      </x:c>
      <x:c r="B7" s="17" t="str">
        <x:v>Servicios</x:v>
      </x:c>
      <x:c r="C7" s="17" t="str">
        <x:v>Servicios prestados</x:v>
      </x:c>
    </x:row>
    <x:row r="8">
      <x:c r="A8" s="17" t="str">
        <x:v>Ingreso</x:v>
      </x:c>
      <x:c r="B8" s="17" t="str">
        <x:v>Otros ingresos</x:v>
      </x:c>
      <x:c r="C8" s="17" t="str">
        <x:v>Ingresos no recurrentes</x:v>
      </x:c>
    </x:row>
    <x:row r="9">
      <x:c r="A9" s="17" t="str">
        <x:v>Gasto</x:v>
      </x:c>
      <x:c r="B9" s="17" t="str">
        <x:v>Compras</x:v>
      </x:c>
      <x:c r="C9" s="17" t="str">
        <x:v>Compra de mercancia o insumos</x:v>
      </x:c>
    </x:row>
    <x:row r="10">
      <x:c r="A10" s="17" t="str">
        <x:v>Gasto</x:v>
      </x:c>
      <x:c r="B10" s="17" t="str">
        <x:v>Arriendo</x:v>
      </x:c>
      <x:c r="C10" s="17" t="str">
        <x:v>Pago de local, oficina o bodega</x:v>
      </x:c>
    </x:row>
    <x:row r="11">
      <x:c r="A11" s="17" t="str">
        <x:v>Gasto</x:v>
      </x:c>
      <x:c r="B11" s="17" t="str">
        <x:v>Servicios publicos</x:v>
      </x:c>
      <x:c r="C11" s="17" t="str">
        <x:v>Agua, luz, internet y telefonia</x:v>
      </x:c>
    </x:row>
    <x:row r="12">
      <x:c r="A12" s="17" t="str">
        <x:v>Gasto</x:v>
      </x:c>
      <x:c r="B12" s="17" t="str">
        <x:v>Nomina</x:v>
      </x:c>
      <x:c r="C12" s="17" t="str">
        <x:v>Pagos de personal</x:v>
      </x:c>
    </x:row>
    <x:row r="13">
      <x:c r="A13" s="17" t="str">
        <x:v>Gasto</x:v>
      </x:c>
      <x:c r="B13" s="17" t="str">
        <x:v>Transporte</x:v>
      </x:c>
      <x:c r="C13" s="17" t="str">
        <x:v>Domicilios, gasolina o transporte</x:v>
      </x:c>
    </x:row>
    <x:row r="14">
      <x:c r="A14" s="17" t="str">
        <x:v>Gasto</x:v>
      </x:c>
      <x:c r="B14" s="17" t="str">
        <x:v>Marketing</x:v>
      </x:c>
      <x:c r="C14" s="17" t="str">
        <x:v>Publicidad y promocion</x:v>
      </x:c>
    </x:row>
    <x:row r="15">
      <x:c r="A15" s="17" t="str">
        <x:v>Gasto</x:v>
      </x:c>
      <x:c r="B15" s="17" t="str">
        <x:v>Impuestos</x:v>
      </x:c>
      <x:c r="C15" s="17" t="str">
        <x:v>Impuestos y tasas</x:v>
      </x:c>
    </x:row>
    <x:row r="16">
      <x:c r="A16" s="17" t="str">
        <x:v>Gasto</x:v>
      </x:c>
      <x:c r="B16" s="17" t="str">
        <x:v>Otros gastos</x:v>
      </x:c>
      <x:c r="C16" s="17" t="str">
        <x:v>Gastos varios</x:v>
      </x:c>
    </x:row>
  </x:sheetData>
  <x:mergeCells>
    <x:mergeCell ref="A1:C1"/>
    <x:mergeCell ref="A2:H2"/>
  </x:mergeCells>
  <x:dataValidations count="1">
    <x:dataValidation type="list" sqref="A6:A16">
      <x:formula1>"Ingreso,Gasto"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537917563043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6.25" hidden="0" customWidth="1"/>
    <x:col min="3" max="3" width="5" hidden="0" customWidth="1"/>
    <x:col min="4" max="4" width="18.75" hidden="0" customWidth="1"/>
    <x:col min="5" max="5" width="21.25" hidden="0" customWidth="1"/>
    <x:col min="6" max="6" width="27.5" hidden="0" customWidth="1"/>
  </x:cols>
  <x:sheetData>
    <x:row r="1" ht="31.5" customHeight="1">
      <x:c r="A1" s="4" t="str">
        <x:v>Configuracion</x:v>
      </x:c>
      <x:c r="B1" s="4" t="str">
        <x:v>Configuracion</x:v>
      </x:c>
      <x:c r="C1" s="4" t="str">
        <x:v>Configuracion</x:v>
      </x:c>
      <x:c r="D1" s="4" t="str">
        <x:v>Configuracion</x:v>
      </x:c>
      <x:c r="E1" s="4" t="str">
        <x:v>Configuracion</x:v>
      </x:c>
      <x:c r="F1" s="4" t="str">
        <x:v>Configuracion</x:v>
      </x:c>
    </x:row>
    <x:row r="2">
      <x:c r="A2" s="8" t="str">
        <x:v>Ajustes del sistema</x:v>
      </x:c>
      <x:c r="B2" s="8" t="str">
        <x:v>Ajustes del sistema</x:v>
      </x:c>
      <x:c r="C2" s="8" t="str">
        <x:v>Ajustes del sistema</x:v>
      </x:c>
      <x:c r="D2" s="8" t="str">
        <x:v>Ajustes del sistema</x:v>
      </x:c>
      <x:c r="E2" s="8" t="str">
        <x:v>Ajustes del sistema</x:v>
      </x:c>
      <x:c r="F2" s="8" t="str">
        <x:v>Ajustes del sistema</x:v>
      </x:c>
      <x:c r="G2" s="8" t="str">
        <x:v>Ajustes del sistema</x:v>
      </x:c>
      <x:c r="H2" s="8" t="str">
        <x:v>Ajustes del sistema</x:v>
      </x:c>
    </x:row>
    <x:row r="4">
      <x:c r="A4" s="69" t="str">
        <x:v>Datos del negocio</x:v>
      </x:c>
      <x:c r="B4" s="70" t="str">
        <x:v>Datos del negocio</x:v>
      </x:c>
      <x:c r="D4" s="38" t="str">
        <x:v>Cuentas</x:v>
      </x:c>
      <x:c r="E4" s="40" t="str">
        <x:v>Cuentas</x:v>
      </x:c>
    </x:row>
    <x:row r="5">
      <x:c r="A5" s="17" t="str">
        <x:v>Nombre del negocio</x:v>
      </x:c>
      <x:c r="B5" s="17" t="str">
        <x:v>Mi negocio</x:v>
      </x:c>
      <x:c r="D5" s="46" t="str">
        <x:v>Cuenta</x:v>
      </x:c>
      <x:c r="E5" s="46" t="str">
        <x:v>Uso</x:v>
      </x:c>
    </x:row>
    <x:row r="6">
      <x:c r="A6" s="17" t="str">
        <x:v>Moneda</x:v>
      </x:c>
      <x:c r="B6" s="17" t="str">
        <x:v>COP</x:v>
      </x:c>
      <x:c r="D6" s="17" t="str">
        <x:v>Caja</x:v>
      </x:c>
      <x:c r="E6" s="17" t="str">
        <x:v>Disponible</x:v>
      </x:c>
    </x:row>
    <x:row r="7">
      <x:c r="A7" s="17" t="str">
        <x:v>Periodo actual</x:v>
      </x:c>
      <x:c r="B7" s="17" t="str">
        <x:f>TEXT(TODAY(),"yyyy-mm")</x:f>
        <x:v>2026-06</x:v>
      </x:c>
      <x:c r="D7" s="17" t="str">
        <x:v>Banco</x:v>
      </x:c>
      <x:c r="E7" s="17" t="str">
        <x:v>Disponible</x:v>
      </x:c>
    </x:row>
    <x:row r="8">
      <x:c r="A8" s="17" t="str">
        <x:v>Creado</x:v>
      </x:c>
      <x:c r="B8" s="63" t="n">
        <x:v>46177.4535350463</x:v>
      </x:c>
      <x:c r="D8" s="17" t="str">
        <x:v>Nequi</x:v>
      </x:c>
      <x:c r="E8" s="17" t="str">
        <x:v>Disponible</x:v>
      </x:c>
    </x:row>
    <x:row r="9">
      <x:c r="A9" s="17" t="str">
        <x:v>Version</x:v>
      </x:c>
      <x:c r="B9" s="17" t="str">
        <x:v>1.0</x:v>
      </x:c>
      <x:c r="D9" s="17" t="str">
        <x:v>Daviplata</x:v>
      </x:c>
      <x:c r="E9" s="17" t="str">
        <x:v>Disponible</x:v>
      </x:c>
    </x:row>
    <x:row r="10">
      <x:c r="A10" s="17" t="str">
        <x:v>Estado</x:v>
      </x:c>
      <x:c r="B10" s="17" t="str">
        <x:v>Listo</x:v>
      </x:c>
      <x:c r="D10" s="17" t="str">
        <x:v>Tarjeta</x:v>
      </x:c>
      <x:c r="E10" s="17" t="str">
        <x:v>Disponible</x:v>
      </x:c>
    </x:row>
    <x:row r="13">
      <x:c r="A13" s="54" t="str">
        <x:v>Uso rapido</x:v>
      </x:c>
      <x:c r="B13" s="56" t="str">
        <x:v>Uso rapido</x:v>
      </x:c>
    </x:row>
    <x:row r="14">
      <x:c r="A14" s="17" t="str">
        <x:v>1</x:v>
      </x:c>
      <x:c r="B14" s="71" t="str">
        <x:v>Registra ingresos y gastos en Movimientos o desde el panel HTML.</x:v>
      </x:c>
      <x:c r="D14" s="38" t="str">
        <x:v>Metodos de pago</x:v>
      </x:c>
      <x:c r="E14" s="40" t="str">
        <x:v>Metodos de pago</x:v>
      </x:c>
    </x:row>
    <x:row r="15">
      <x:c r="A15" s="17" t="str">
        <x:v>2</x:v>
      </x:c>
      <x:c r="B15" s="71" t="str">
        <x:v>Usa Facturas para controlar cobros y pagos pendientes.</x:v>
      </x:c>
      <x:c r="D15" s="46" t="str">
        <x:v>Metodo</x:v>
      </x:c>
      <x:c r="E15" s="46" t="str">
        <x:v>Uso</x:v>
      </x:c>
    </x:row>
    <x:row r="16">
      <x:c r="A16" s="17" t="str">
        <x:v>3</x:v>
      </x:c>
      <x:c r="B16" s="71" t="str">
        <x:v>Edita Categorias, Cuentas y Metodos segun tu negocio.</x:v>
      </x:c>
      <x:c r="D16" s="17" t="str">
        <x:v>Efectivo</x:v>
      </x:c>
      <x:c r="E16" s="17" t="str">
        <x:v>Disponible</x:v>
      </x:c>
    </x:row>
    <x:row r="17">
      <x:c r="A17" s="17" t="str">
        <x:v>4</x:v>
      </x:c>
      <x:c r="B17" s="71" t="str">
        <x:v>El Dashboard se actualiza con formulas.</x:v>
      </x:c>
      <x:c r="D17" s="17" t="str">
        <x:v>Transferencia</x:v>
      </x:c>
      <x:c r="E17" s="17" t="str">
        <x:v>Disponible</x:v>
      </x:c>
    </x:row>
    <x:row r="18">
      <x:c r="A18" s="17" t="str">
        <x:v>5</x:v>
      </x:c>
      <x:c r="B18" s="71" t="str">
        <x:v>No contiene IA ni claves externas.</x:v>
      </x:c>
      <x:c r="D18" s="17" t="str">
        <x:v>Tarjeta</x:v>
      </x:c>
      <x:c r="E18" s="17" t="str">
        <x:v>Disponible</x:v>
      </x:c>
    </x:row>
    <x:row r="19">
      <x:c r="D19" s="17" t="str">
        <x:v>Nequi</x:v>
      </x:c>
      <x:c r="E19" s="17" t="str">
        <x:v>Disponible</x:v>
      </x:c>
    </x:row>
    <x:row r="20">
      <x:c r="D20" s="17" t="str">
        <x:v>Daviplata</x:v>
      </x:c>
      <x:c r="E20" s="17" t="str">
        <x:v>Disponible</x:v>
      </x:c>
    </x:row>
    <x:row r="21">
      <x:c r="D21" s="17" t="str">
        <x:v>Credito</x:v>
      </x:c>
      <x:c r="E21" s="17" t="str">
        <x:v>Disponible</x:v>
      </x:c>
    </x:row>
  </x:sheetData>
  <x:mergeCells>
    <x:mergeCell ref="A1:F1"/>
    <x:mergeCell ref="A2:H2"/>
    <x:mergeCell ref="A4:B4"/>
    <x:mergeCell ref="D4:E4"/>
    <x:mergeCell ref="D14:E14"/>
    <x:mergeCell ref="A13:B13"/>
  </x:mergeCells>
  <x:pageMargins left="0.7" right="0.7" top="0.75" bottom="0.75" header="0.3" footer="0.3"/>
</x:worksheet>
</file>